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bookViews>
    <workbookView xWindow="0" yWindow="0" windowWidth="19200" windowHeight="11595" tabRatio="940" firstSheet="6" activeTab="9"/>
  </bookViews>
  <sheets>
    <sheet name="IN STOCK ITEMS" sheetId="8" r:id="rId1"/>
    <sheet name="Sheet2" sheetId="21" r:id="rId2"/>
    <sheet name="RESISTOR" sheetId="1" r:id="rId3"/>
    <sheet name="CAPACITOR" sheetId="2" r:id="rId4"/>
    <sheet name="INTEGRATED CIRCUIT(IC)" sheetId="3" r:id="rId5"/>
    <sheet name="TRANSISTOR &amp; DIODE" sheetId="4" r:id="rId6"/>
    <sheet name="MODULE &amp; SENSOR" sheetId="5" r:id="rId7"/>
    <sheet name="MOTOR'S" sheetId="6" r:id="rId8"/>
    <sheet name="ELECTRONIC ITEMS" sheetId="7" r:id="rId9"/>
    <sheet name="Project 2017 2018" sheetId="19" r:id="rId10"/>
    <sheet name="Ashok" sheetId="18" r:id="rId11"/>
    <sheet name="MINI PROJECTS" sheetId="10" r:id="rId12"/>
    <sheet name="HAP" sheetId="13" r:id="rId13"/>
    <sheet name="Arduino Basic Kit" sheetId="14" r:id="rId14"/>
    <sheet name="3D PRINTED PARTS" sheetId="16" r:id="rId15"/>
    <sheet name="SOLDERING KIT" sheetId="17" r:id="rId16"/>
  </sheet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69" i="21"/>
  <c r="H169"/>
  <c r="G169"/>
  <c r="I168"/>
  <c r="H168"/>
  <c r="G168"/>
  <c r="I167"/>
  <c r="H167"/>
  <c r="G167"/>
  <c r="I166"/>
  <c r="H166"/>
  <c r="G166"/>
  <c r="I165"/>
  <c r="H165"/>
  <c r="G165"/>
  <c r="I164"/>
  <c r="H164"/>
  <c r="G164"/>
  <c r="I163"/>
  <c r="H163"/>
  <c r="G163"/>
  <c r="I162"/>
  <c r="H162"/>
  <c r="G162"/>
  <c r="I161"/>
  <c r="H161"/>
  <c r="G161"/>
  <c r="I160"/>
  <c r="H160"/>
  <c r="G160"/>
  <c r="I159"/>
  <c r="H159"/>
  <c r="G159"/>
  <c r="I158"/>
  <c r="H158"/>
  <c r="G158"/>
  <c r="I157"/>
  <c r="H157"/>
  <c r="G157"/>
  <c r="I156"/>
  <c r="H156"/>
  <c r="G156"/>
  <c r="I155"/>
  <c r="H155"/>
  <c r="G155"/>
  <c r="I154"/>
  <c r="H154"/>
  <c r="G154"/>
  <c r="I153"/>
  <c r="H153"/>
  <c r="G153"/>
  <c r="I152"/>
  <c r="H152"/>
  <c r="G152"/>
  <c r="I151"/>
  <c r="H151"/>
  <c r="G151"/>
  <c r="I150"/>
  <c r="H150"/>
  <c r="G150"/>
  <c r="I149"/>
  <c r="H149"/>
  <c r="G149"/>
  <c r="I148"/>
  <c r="H148"/>
  <c r="G148"/>
  <c r="I147"/>
  <c r="H147"/>
  <c r="G147"/>
  <c r="I146"/>
  <c r="H146"/>
  <c r="G146"/>
  <c r="I145"/>
  <c r="H145"/>
  <c r="G145"/>
  <c r="I144"/>
  <c r="H144"/>
  <c r="G144"/>
  <c r="I143"/>
  <c r="H143"/>
  <c r="G143"/>
  <c r="I142"/>
  <c r="H142"/>
  <c r="G142"/>
  <c r="I141"/>
  <c r="H141"/>
  <c r="G141"/>
  <c r="I140"/>
  <c r="H140"/>
  <c r="G140"/>
  <c r="I139"/>
  <c r="H139"/>
  <c r="G139"/>
  <c r="I138"/>
  <c r="H138"/>
  <c r="G138"/>
  <c r="I137"/>
  <c r="H137"/>
  <c r="G137"/>
  <c r="I136"/>
  <c r="H136"/>
  <c r="G136"/>
  <c r="I135"/>
  <c r="H135"/>
  <c r="G135"/>
  <c r="I134"/>
  <c r="H134"/>
  <c r="G134"/>
  <c r="I133"/>
  <c r="H133"/>
  <c r="G133"/>
  <c r="I132"/>
  <c r="H132"/>
  <c r="G132"/>
  <c r="I131"/>
  <c r="H131"/>
  <c r="G131"/>
  <c r="I130"/>
  <c r="H130"/>
  <c r="G130"/>
  <c r="I129"/>
  <c r="H129"/>
  <c r="G129"/>
  <c r="I128"/>
  <c r="H128"/>
  <c r="G128"/>
  <c r="I127"/>
  <c r="H127"/>
  <c r="G127"/>
  <c r="I126"/>
  <c r="H126"/>
  <c r="G126"/>
  <c r="I125"/>
  <c r="H125"/>
  <c r="G125"/>
  <c r="I124"/>
  <c r="H124"/>
  <c r="G124"/>
  <c r="I123"/>
  <c r="H123"/>
  <c r="G123"/>
  <c r="I122"/>
  <c r="H122"/>
  <c r="G122"/>
  <c r="I121"/>
  <c r="H121"/>
  <c r="G121"/>
  <c r="I120"/>
  <c r="H120"/>
  <c r="G120"/>
  <c r="I119"/>
  <c r="H119"/>
  <c r="G119"/>
  <c r="I118"/>
  <c r="H118"/>
  <c r="G118"/>
  <c r="I117"/>
  <c r="H117"/>
  <c r="G117"/>
  <c r="I116"/>
  <c r="H116"/>
  <c r="G116"/>
  <c r="I115"/>
  <c r="H115"/>
  <c r="G115"/>
  <c r="I114"/>
  <c r="H114"/>
  <c r="G114"/>
  <c r="I113"/>
  <c r="H113"/>
  <c r="G113"/>
  <c r="I112"/>
  <c r="H112"/>
  <c r="G112"/>
  <c r="I111"/>
  <c r="H111"/>
  <c r="G111"/>
  <c r="I110"/>
  <c r="H110"/>
  <c r="G110"/>
  <c r="I109"/>
  <c r="H109"/>
  <c r="G109"/>
  <c r="I108"/>
  <c r="H108"/>
  <c r="G108"/>
  <c r="I107"/>
  <c r="H107"/>
  <c r="G107"/>
  <c r="I106"/>
  <c r="H106"/>
  <c r="G106"/>
  <c r="I105"/>
  <c r="H105"/>
  <c r="G105"/>
  <c r="I104"/>
  <c r="H104"/>
  <c r="G104"/>
  <c r="I103"/>
  <c r="H103"/>
  <c r="G103"/>
  <c r="I102"/>
  <c r="H102"/>
  <c r="G102"/>
  <c r="I101"/>
  <c r="H101"/>
  <c r="G101"/>
  <c r="I100"/>
  <c r="H100"/>
  <c r="G100"/>
  <c r="I99"/>
  <c r="H99"/>
  <c r="G99"/>
  <c r="I98"/>
  <c r="H98"/>
  <c r="G98"/>
  <c r="I97"/>
  <c r="H97"/>
  <c r="G97"/>
  <c r="I96"/>
  <c r="H96"/>
  <c r="G96"/>
  <c r="I95"/>
  <c r="H95"/>
  <c r="G95"/>
  <c r="I94"/>
  <c r="H94"/>
  <c r="G94"/>
  <c r="I93"/>
  <c r="H93"/>
  <c r="G93"/>
  <c r="I92"/>
  <c r="H92"/>
  <c r="G92"/>
  <c r="I91"/>
  <c r="H91"/>
  <c r="G91"/>
  <c r="I89"/>
  <c r="H89"/>
  <c r="G89"/>
  <c r="I88"/>
  <c r="H88"/>
  <c r="G88"/>
  <c r="I87"/>
  <c r="H87"/>
  <c r="G87"/>
  <c r="I86"/>
  <c r="H86"/>
  <c r="G86"/>
  <c r="I85"/>
  <c r="H85"/>
  <c r="G85"/>
  <c r="I84"/>
  <c r="H84"/>
  <c r="G84"/>
  <c r="I83"/>
  <c r="H83"/>
  <c r="G83"/>
  <c r="I82"/>
  <c r="H82"/>
  <c r="G82"/>
  <c r="I81"/>
  <c r="H81"/>
  <c r="G81"/>
  <c r="I80"/>
  <c r="H80"/>
  <c r="G80"/>
  <c r="I79"/>
  <c r="H79"/>
  <c r="G79"/>
  <c r="I78"/>
  <c r="H78"/>
  <c r="G78"/>
  <c r="I77"/>
  <c r="H77"/>
  <c r="G77"/>
  <c r="I76"/>
  <c r="H76"/>
  <c r="G76"/>
  <c r="I75"/>
  <c r="H75"/>
  <c r="G75"/>
  <c r="I74"/>
  <c r="H74"/>
  <c r="G74"/>
  <c r="I73"/>
  <c r="H73"/>
  <c r="G73"/>
  <c r="I72"/>
  <c r="H72"/>
  <c r="G72"/>
  <c r="I71"/>
  <c r="H71"/>
  <c r="G71"/>
  <c r="I70"/>
  <c r="H70"/>
  <c r="G70"/>
  <c r="I69"/>
  <c r="H69"/>
  <c r="G69"/>
  <c r="I68"/>
  <c r="H68"/>
  <c r="G68"/>
  <c r="I67"/>
  <c r="H67"/>
  <c r="G67"/>
  <c r="I66"/>
  <c r="H66"/>
  <c r="G66"/>
  <c r="I64"/>
  <c r="H64"/>
  <c r="G64"/>
  <c r="I63"/>
  <c r="H63"/>
  <c r="G63"/>
  <c r="I62"/>
  <c r="H62"/>
  <c r="G62"/>
  <c r="I61"/>
  <c r="H61"/>
  <c r="G61"/>
  <c r="I60"/>
  <c r="H60"/>
  <c r="G60"/>
  <c r="I59"/>
  <c r="H59"/>
  <c r="G59"/>
  <c r="I58"/>
  <c r="H58"/>
  <c r="G58"/>
  <c r="I57"/>
  <c r="H57"/>
  <c r="G57"/>
  <c r="I56"/>
  <c r="H56"/>
  <c r="G56"/>
  <c r="I55"/>
  <c r="H55"/>
  <c r="G55"/>
  <c r="I54"/>
  <c r="H54"/>
  <c r="G54"/>
  <c r="I53"/>
  <c r="H53"/>
  <c r="G53"/>
  <c r="I52"/>
  <c r="H52"/>
  <c r="G52"/>
  <c r="I51"/>
  <c r="H51"/>
  <c r="G51"/>
  <c r="I50"/>
  <c r="H50"/>
  <c r="G50"/>
  <c r="I49"/>
  <c r="H49"/>
  <c r="G49"/>
  <c r="I48"/>
  <c r="H48"/>
  <c r="G48"/>
  <c r="I47"/>
  <c r="H47"/>
  <c r="G47"/>
  <c r="I46"/>
  <c r="H46"/>
  <c r="G46"/>
  <c r="I45"/>
  <c r="H45"/>
  <c r="G45"/>
  <c r="I44"/>
  <c r="H44"/>
  <c r="G44"/>
  <c r="I43"/>
  <c r="H43"/>
  <c r="G43"/>
  <c r="I42"/>
  <c r="H42"/>
  <c r="G42"/>
  <c r="I41"/>
  <c r="H41"/>
  <c r="G41"/>
  <c r="I40"/>
  <c r="H40"/>
  <c r="G40"/>
  <c r="I39"/>
  <c r="H39"/>
  <c r="G39"/>
  <c r="I38"/>
  <c r="H38"/>
  <c r="G38"/>
  <c r="I37"/>
  <c r="H37"/>
  <c r="G37"/>
  <c r="I36"/>
  <c r="H36"/>
  <c r="G36"/>
  <c r="I35"/>
  <c r="H35"/>
  <c r="G35"/>
  <c r="I34"/>
  <c r="H34"/>
  <c r="G34"/>
  <c r="I33"/>
  <c r="H33"/>
  <c r="G33"/>
  <c r="I32"/>
  <c r="H32"/>
  <c r="G32"/>
  <c r="I31"/>
  <c r="H31"/>
  <c r="G31"/>
  <c r="I30"/>
  <c r="H30"/>
  <c r="G30"/>
  <c r="I29"/>
  <c r="H29"/>
  <c r="G29"/>
  <c r="I28"/>
  <c r="H28"/>
  <c r="G28"/>
  <c r="I27"/>
  <c r="H27"/>
  <c r="G27"/>
  <c r="I26"/>
  <c r="H26"/>
  <c r="G26"/>
  <c r="I25"/>
  <c r="H25"/>
  <c r="G25"/>
  <c r="I24"/>
  <c r="H24"/>
  <c r="G24"/>
  <c r="I22"/>
  <c r="H22"/>
  <c r="G22"/>
  <c r="I21"/>
  <c r="H21"/>
  <c r="G21"/>
  <c r="I20"/>
  <c r="H20"/>
  <c r="G20"/>
  <c r="I19"/>
  <c r="H19"/>
  <c r="G19"/>
  <c r="I18"/>
  <c r="H18"/>
  <c r="G18"/>
  <c r="I16"/>
  <c r="H16"/>
  <c r="G16"/>
  <c r="I15"/>
  <c r="H15"/>
  <c r="G15"/>
  <c r="I14"/>
  <c r="H14"/>
  <c r="G14"/>
  <c r="I13"/>
  <c r="H13"/>
  <c r="G13"/>
  <c r="I11"/>
  <c r="H11"/>
  <c r="G11"/>
  <c r="I10"/>
  <c r="H10"/>
  <c r="G10"/>
  <c r="I9"/>
  <c r="H9"/>
  <c r="G9"/>
  <c r="I8"/>
  <c r="H8"/>
  <c r="G8"/>
  <c r="I6"/>
  <c r="H6"/>
  <c r="G6"/>
  <c r="I5"/>
  <c r="H5"/>
  <c r="G5"/>
  <c r="I4"/>
  <c r="H4"/>
  <c r="G4"/>
  <c r="I3"/>
  <c r="H3"/>
  <c r="G3"/>
  <c r="I2"/>
  <c r="H2"/>
  <c r="G2"/>
  <c r="I6" i="19"/>
  <c r="I18"/>
  <c r="I16" l="1"/>
  <c r="I20"/>
  <c r="G121" i="7" l="1"/>
  <c r="I121"/>
  <c r="H121"/>
  <c r="I17" i="19" l="1"/>
  <c r="I4" l="1"/>
  <c r="I14" l="1"/>
  <c r="I8" l="1"/>
  <c r="I3"/>
  <c r="I11"/>
  <c r="G20" i="6" l="1"/>
  <c r="I34" i="19" l="1"/>
  <c r="H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3"/>
  <c r="J34" l="1"/>
  <c r="K35" i="18"/>
  <c r="H35"/>
  <c r="D35"/>
  <c r="C2" s="1"/>
  <c r="C4" s="1"/>
  <c r="C3"/>
  <c r="G10" i="5" l="1"/>
  <c r="I10"/>
  <c r="H10"/>
  <c r="G36" i="3"/>
  <c r="I36"/>
  <c r="H36"/>
  <c r="E14" i="17" l="1"/>
  <c r="F14"/>
  <c r="I4" i="10"/>
  <c r="I5"/>
  <c r="H4"/>
  <c r="H5"/>
  <c r="G4"/>
  <c r="G5"/>
  <c r="I3" i="7"/>
  <c r="H3"/>
  <c r="G3"/>
  <c r="E23" i="13" l="1"/>
  <c r="F29" i="14" l="1"/>
  <c r="E29"/>
  <c r="I14" i="10" l="1"/>
  <c r="H14"/>
  <c r="G14"/>
  <c r="I13"/>
  <c r="H13"/>
  <c r="G12"/>
  <c r="G13"/>
  <c r="I12"/>
  <c r="H12"/>
  <c r="G11"/>
  <c r="I11"/>
  <c r="H11"/>
  <c r="G10"/>
  <c r="I10"/>
  <c r="H10"/>
  <c r="G105" i="7" l="1"/>
  <c r="H105"/>
  <c r="I105"/>
  <c r="G7" i="10" l="1"/>
  <c r="G21"/>
  <c r="G22"/>
  <c r="G8"/>
  <c r="G9"/>
  <c r="G15"/>
  <c r="G16"/>
  <c r="G17"/>
  <c r="G18"/>
  <c r="G19"/>
  <c r="G20"/>
  <c r="G23"/>
  <c r="G24"/>
  <c r="G25"/>
  <c r="G26"/>
  <c r="G27"/>
  <c r="G3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50"/>
  <c r="G51"/>
  <c r="G52"/>
  <c r="G53"/>
  <c r="G54"/>
  <c r="G55"/>
  <c r="G57"/>
  <c r="G58"/>
  <c r="G59"/>
  <c r="G60"/>
  <c r="G6"/>
  <c r="G4" i="7"/>
  <c r="G5"/>
  <c r="G6"/>
  <c r="G7"/>
  <c r="G8"/>
  <c r="G9"/>
  <c r="G10"/>
  <c r="G11"/>
  <c r="G13"/>
  <c r="G14"/>
  <c r="G15"/>
  <c r="G16"/>
  <c r="G17"/>
  <c r="G18"/>
  <c r="G19"/>
  <c r="G20"/>
  <c r="G21"/>
  <c r="G22"/>
  <c r="G23"/>
  <c r="G25"/>
  <c r="G26"/>
  <c r="G27"/>
  <c r="G28"/>
  <c r="G29"/>
  <c r="G30"/>
  <c r="G31"/>
  <c r="G32"/>
  <c r="G33"/>
  <c r="G34"/>
  <c r="G35"/>
  <c r="G36"/>
  <c r="G37"/>
  <c r="G38"/>
  <c r="G40"/>
  <c r="G41"/>
  <c r="G42"/>
  <c r="G43"/>
  <c r="G44"/>
  <c r="G45"/>
  <c r="G47"/>
  <c r="G48"/>
  <c r="G49"/>
  <c r="G50"/>
  <c r="G51"/>
  <c r="G52"/>
  <c r="G53"/>
  <c r="G54"/>
  <c r="G55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7"/>
  <c r="G108"/>
  <c r="G109"/>
  <c r="G110"/>
  <c r="G111"/>
  <c r="G112"/>
  <c r="G114"/>
  <c r="G115"/>
  <c r="G116"/>
  <c r="G117"/>
  <c r="G118"/>
  <c r="G119"/>
  <c r="G120"/>
  <c r="G122"/>
  <c r="G123"/>
  <c r="G125"/>
  <c r="G126"/>
  <c r="G127"/>
  <c r="G128"/>
  <c r="G129"/>
  <c r="G130"/>
  <c r="G131"/>
  <c r="G132"/>
  <c r="G133"/>
  <c r="G135"/>
  <c r="G136"/>
  <c r="G137"/>
  <c r="G138"/>
  <c r="G139"/>
  <c r="G140"/>
  <c r="G141"/>
  <c r="G142"/>
  <c r="G143"/>
  <c r="G145"/>
  <c r="G146"/>
  <c r="G147"/>
  <c r="G148"/>
  <c r="G149"/>
  <c r="G2"/>
  <c r="G3" i="6"/>
  <c r="G4"/>
  <c r="G5"/>
  <c r="G6"/>
  <c r="G7"/>
  <c r="G8"/>
  <c r="G9"/>
  <c r="G10"/>
  <c r="G11"/>
  <c r="G12"/>
  <c r="G13"/>
  <c r="G14"/>
  <c r="G15"/>
  <c r="G16"/>
  <c r="G17"/>
  <c r="G18"/>
  <c r="G19"/>
  <c r="G21"/>
  <c r="G22"/>
  <c r="G23"/>
  <c r="G24"/>
  <c r="G25"/>
  <c r="G26"/>
  <c r="G27"/>
  <c r="G28"/>
  <c r="G29"/>
  <c r="G30"/>
  <c r="G31"/>
  <c r="G2"/>
  <c r="G3" i="5"/>
  <c r="G4"/>
  <c r="G5"/>
  <c r="G6"/>
  <c r="G7"/>
  <c r="G8"/>
  <c r="G9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2"/>
  <c r="G3" i="4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1"/>
  <c r="G42"/>
  <c r="G43"/>
  <c r="G44"/>
  <c r="G45"/>
  <c r="G46"/>
  <c r="G47"/>
  <c r="G48"/>
  <c r="G49"/>
  <c r="G50"/>
  <c r="G51"/>
  <c r="G52"/>
  <c r="G2"/>
  <c r="G3" i="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7"/>
  <c r="G38"/>
  <c r="G39"/>
  <c r="G40"/>
  <c r="G41"/>
  <c r="G42"/>
  <c r="G43"/>
  <c r="G44"/>
  <c r="G45"/>
  <c r="G46"/>
  <c r="G47"/>
  <c r="G48"/>
  <c r="G49"/>
  <c r="G50"/>
  <c r="G51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5"/>
  <c r="G106"/>
  <c r="G107"/>
  <c r="G108"/>
  <c r="G2"/>
  <c r="G3" i="2"/>
  <c r="G4"/>
  <c r="G5"/>
  <c r="G6"/>
  <c r="G7"/>
  <c r="G8"/>
  <c r="G9"/>
  <c r="G10"/>
  <c r="G11"/>
  <c r="G12"/>
  <c r="G13"/>
  <c r="G14"/>
  <c r="G15"/>
  <c r="G16"/>
  <c r="G17"/>
  <c r="G18"/>
  <c r="G19"/>
  <c r="G20"/>
  <c r="G2"/>
  <c r="G65" i="1"/>
  <c r="G66"/>
  <c r="G67"/>
  <c r="G69"/>
  <c r="G70"/>
  <c r="G71"/>
  <c r="G72"/>
  <c r="G73"/>
  <c r="G74"/>
  <c r="G75"/>
  <c r="G76"/>
  <c r="G77"/>
  <c r="G78"/>
  <c r="G79"/>
  <c r="G81"/>
  <c r="G82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2"/>
  <c r="I9" i="10" l="1"/>
  <c r="H9"/>
  <c r="I7" l="1"/>
  <c r="I21"/>
  <c r="I22"/>
  <c r="I8"/>
  <c r="I15"/>
  <c r="I16"/>
  <c r="I17"/>
  <c r="I18"/>
  <c r="I19"/>
  <c r="I20"/>
  <c r="I23"/>
  <c r="I24"/>
  <c r="I25"/>
  <c r="I26"/>
  <c r="I27"/>
  <c r="I3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H7"/>
  <c r="H21"/>
  <c r="H22"/>
  <c r="H8"/>
  <c r="H15"/>
  <c r="H16"/>
  <c r="H17"/>
  <c r="H18"/>
  <c r="H19"/>
  <c r="H20"/>
  <c r="H23"/>
  <c r="H24"/>
  <c r="H25"/>
  <c r="H26"/>
  <c r="H27"/>
  <c r="H3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I6"/>
  <c r="H6"/>
  <c r="I26" i="5"/>
  <c r="H26"/>
  <c r="I11" i="7" l="1"/>
  <c r="H11"/>
  <c r="I103" l="1"/>
  <c r="H103"/>
  <c r="I4"/>
  <c r="I5"/>
  <c r="I6"/>
  <c r="I7"/>
  <c r="I8"/>
  <c r="I9"/>
  <c r="I10"/>
  <c r="I13"/>
  <c r="I14"/>
  <c r="I15"/>
  <c r="I16"/>
  <c r="I17"/>
  <c r="I18"/>
  <c r="I19"/>
  <c r="I20"/>
  <c r="I21"/>
  <c r="I22"/>
  <c r="I23"/>
  <c r="I25"/>
  <c r="I26"/>
  <c r="I27"/>
  <c r="I28"/>
  <c r="I29"/>
  <c r="I30"/>
  <c r="I31"/>
  <c r="I32"/>
  <c r="I33"/>
  <c r="I34"/>
  <c r="I35"/>
  <c r="I36"/>
  <c r="I37"/>
  <c r="I38"/>
  <c r="I40"/>
  <c r="I41"/>
  <c r="I42"/>
  <c r="I43"/>
  <c r="I44"/>
  <c r="I45"/>
  <c r="I47"/>
  <c r="I48"/>
  <c r="I49"/>
  <c r="I50"/>
  <c r="I51"/>
  <c r="I52"/>
  <c r="I53"/>
  <c r="I54"/>
  <c r="I55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4"/>
  <c r="I107"/>
  <c r="I108"/>
  <c r="I109"/>
  <c r="I110"/>
  <c r="I111"/>
  <c r="I112"/>
  <c r="I113"/>
  <c r="I114"/>
  <c r="I115"/>
  <c r="I116"/>
  <c r="I117"/>
  <c r="I118"/>
  <c r="I119"/>
  <c r="I120"/>
  <c r="I122"/>
  <c r="I123"/>
  <c r="I125"/>
  <c r="I126"/>
  <c r="I127"/>
  <c r="I128"/>
  <c r="I129"/>
  <c r="I130"/>
  <c r="I131"/>
  <c r="I132"/>
  <c r="I133"/>
  <c r="I135"/>
  <c r="I136"/>
  <c r="I137"/>
  <c r="I138"/>
  <c r="I139"/>
  <c r="I140"/>
  <c r="I141"/>
  <c r="I142"/>
  <c r="I143"/>
  <c r="I145"/>
  <c r="I146"/>
  <c r="I147"/>
  <c r="I148"/>
  <c r="I149"/>
  <c r="H4"/>
  <c r="H5"/>
  <c r="H6"/>
  <c r="H7"/>
  <c r="H8"/>
  <c r="H9"/>
  <c r="H10"/>
  <c r="H13"/>
  <c r="H14"/>
  <c r="H15"/>
  <c r="H16"/>
  <c r="H17"/>
  <c r="H18"/>
  <c r="H19"/>
  <c r="H20"/>
  <c r="H21"/>
  <c r="H22"/>
  <c r="H23"/>
  <c r="H25"/>
  <c r="H26"/>
  <c r="H27"/>
  <c r="H28"/>
  <c r="H29"/>
  <c r="H30"/>
  <c r="H31"/>
  <c r="H32"/>
  <c r="H33"/>
  <c r="H34"/>
  <c r="H35"/>
  <c r="H36"/>
  <c r="H37"/>
  <c r="H38"/>
  <c r="H40"/>
  <c r="H41"/>
  <c r="H42"/>
  <c r="H43"/>
  <c r="H44"/>
  <c r="H45"/>
  <c r="H47"/>
  <c r="H48"/>
  <c r="H49"/>
  <c r="H50"/>
  <c r="H51"/>
  <c r="H52"/>
  <c r="H53"/>
  <c r="H54"/>
  <c r="H55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4"/>
  <c r="H107"/>
  <c r="H108"/>
  <c r="H109"/>
  <c r="H110"/>
  <c r="H111"/>
  <c r="H112"/>
  <c r="H113"/>
  <c r="H114"/>
  <c r="H115"/>
  <c r="H116"/>
  <c r="H117"/>
  <c r="H118"/>
  <c r="H119"/>
  <c r="H120"/>
  <c r="H122"/>
  <c r="H123"/>
  <c r="H125"/>
  <c r="H126"/>
  <c r="H127"/>
  <c r="H128"/>
  <c r="H129"/>
  <c r="H130"/>
  <c r="H131"/>
  <c r="H132"/>
  <c r="H133"/>
  <c r="H135"/>
  <c r="H136"/>
  <c r="H137"/>
  <c r="H138"/>
  <c r="H139"/>
  <c r="H140"/>
  <c r="H141"/>
  <c r="H142"/>
  <c r="H143"/>
  <c r="H145"/>
  <c r="H146"/>
  <c r="H147"/>
  <c r="H148"/>
  <c r="H149"/>
  <c r="I2"/>
  <c r="H2"/>
  <c r="I3" i="6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I2"/>
  <c r="H2"/>
  <c r="I3" i="5"/>
  <c r="I4"/>
  <c r="I5"/>
  <c r="I6"/>
  <c r="I7"/>
  <c r="I8"/>
  <c r="I9"/>
  <c r="I11"/>
  <c r="I12"/>
  <c r="I13"/>
  <c r="I14"/>
  <c r="I15"/>
  <c r="I16"/>
  <c r="I17"/>
  <c r="I18"/>
  <c r="I19"/>
  <c r="I20"/>
  <c r="I21"/>
  <c r="I22"/>
  <c r="I23"/>
  <c r="I24"/>
  <c r="I25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2"/>
  <c r="H3"/>
  <c r="H4"/>
  <c r="H5"/>
  <c r="H6"/>
  <c r="H7"/>
  <c r="H8"/>
  <c r="H9"/>
  <c r="H11"/>
  <c r="H12"/>
  <c r="H13"/>
  <c r="H14"/>
  <c r="H15"/>
  <c r="H16"/>
  <c r="H17"/>
  <c r="H18"/>
  <c r="H19"/>
  <c r="H20"/>
  <c r="H21"/>
  <c r="H22"/>
  <c r="H23"/>
  <c r="H24"/>
  <c r="H25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2"/>
  <c r="H32" i="6" l="1"/>
  <c r="I32"/>
  <c r="I84" i="5"/>
  <c r="H84"/>
  <c r="H150" i="7"/>
  <c r="I150"/>
  <c r="I3" i="4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1"/>
  <c r="I42"/>
  <c r="I43"/>
  <c r="I44"/>
  <c r="I45"/>
  <c r="I46"/>
  <c r="I47"/>
  <c r="I48"/>
  <c r="I49"/>
  <c r="I50"/>
  <c r="I51"/>
  <c r="I52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1"/>
  <c r="H42"/>
  <c r="H43"/>
  <c r="H44"/>
  <c r="H45"/>
  <c r="H46"/>
  <c r="H47"/>
  <c r="H48"/>
  <c r="H49"/>
  <c r="H50"/>
  <c r="H51"/>
  <c r="H52"/>
  <c r="I2"/>
  <c r="H2"/>
  <c r="I53" i="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5"/>
  <c r="I106"/>
  <c r="I107"/>
  <c r="I108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5"/>
  <c r="H106"/>
  <c r="H107"/>
  <c r="H108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7"/>
  <c r="I38"/>
  <c r="I39"/>
  <c r="I40"/>
  <c r="I41"/>
  <c r="I42"/>
  <c r="I43"/>
  <c r="I44"/>
  <c r="I45"/>
  <c r="I46"/>
  <c r="I47"/>
  <c r="I48"/>
  <c r="I49"/>
  <c r="I50"/>
  <c r="I51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7"/>
  <c r="H38"/>
  <c r="H39"/>
  <c r="H40"/>
  <c r="H41"/>
  <c r="H42"/>
  <c r="H43"/>
  <c r="H44"/>
  <c r="H45"/>
  <c r="H46"/>
  <c r="H47"/>
  <c r="H48"/>
  <c r="H49"/>
  <c r="H50"/>
  <c r="H51"/>
  <c r="I2"/>
  <c r="H2"/>
  <c r="I3" i="2"/>
  <c r="I4"/>
  <c r="I5"/>
  <c r="I6"/>
  <c r="I7"/>
  <c r="I8"/>
  <c r="I9"/>
  <c r="I10"/>
  <c r="I11"/>
  <c r="I12"/>
  <c r="I13"/>
  <c r="I14"/>
  <c r="I15"/>
  <c r="I16"/>
  <c r="I17"/>
  <c r="I18"/>
  <c r="I19"/>
  <c r="I20"/>
  <c r="H3"/>
  <c r="H4"/>
  <c r="H5"/>
  <c r="H6"/>
  <c r="H7"/>
  <c r="H8"/>
  <c r="H9"/>
  <c r="H10"/>
  <c r="H11"/>
  <c r="H12"/>
  <c r="H13"/>
  <c r="H14"/>
  <c r="H15"/>
  <c r="H16"/>
  <c r="H17"/>
  <c r="H18"/>
  <c r="H19"/>
  <c r="H20"/>
  <c r="I2"/>
  <c r="I21" s="1"/>
  <c r="H2"/>
  <c r="I3" i="1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5"/>
  <c r="I66"/>
  <c r="I67"/>
  <c r="I69"/>
  <c r="I70"/>
  <c r="I71"/>
  <c r="I72"/>
  <c r="I73"/>
  <c r="I74"/>
  <c r="I75"/>
  <c r="I76"/>
  <c r="I77"/>
  <c r="I78"/>
  <c r="I79"/>
  <c r="I81"/>
  <c r="I82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5"/>
  <c r="H66"/>
  <c r="H67"/>
  <c r="H69"/>
  <c r="H70"/>
  <c r="H71"/>
  <c r="H72"/>
  <c r="H73"/>
  <c r="H74"/>
  <c r="H75"/>
  <c r="H76"/>
  <c r="H77"/>
  <c r="H78"/>
  <c r="H79"/>
  <c r="H81"/>
  <c r="H82"/>
  <c r="I2"/>
  <c r="H2"/>
  <c r="I53" i="4" l="1"/>
  <c r="H53"/>
  <c r="H109" i="3"/>
  <c r="H21" i="2"/>
  <c r="I109" i="3"/>
  <c r="H83" i="1"/>
  <c r="I83"/>
</calcChain>
</file>

<file path=xl/sharedStrings.xml><?xml version="1.0" encoding="utf-8"?>
<sst xmlns="http://schemas.openxmlformats.org/spreadsheetml/2006/main" count="2167" uniqueCount="835">
  <si>
    <t>OHM</t>
  </si>
  <si>
    <t>KILOHM</t>
  </si>
  <si>
    <t>MEGOHM</t>
  </si>
  <si>
    <t>10K</t>
  </si>
  <si>
    <t>5K</t>
  </si>
  <si>
    <t>82K</t>
  </si>
  <si>
    <t>22K</t>
  </si>
  <si>
    <t>8.2K</t>
  </si>
  <si>
    <t>270K</t>
  </si>
  <si>
    <t>220K</t>
  </si>
  <si>
    <t>4.7K</t>
  </si>
  <si>
    <t>3.3K</t>
  </si>
  <si>
    <t>150K</t>
  </si>
  <si>
    <t>6.8K</t>
  </si>
  <si>
    <t>27K</t>
  </si>
  <si>
    <t>68K</t>
  </si>
  <si>
    <t>1.5K</t>
  </si>
  <si>
    <t>2.2K</t>
  </si>
  <si>
    <t>330K</t>
  </si>
  <si>
    <t>510K</t>
  </si>
  <si>
    <t>56K</t>
  </si>
  <si>
    <t>68E</t>
  </si>
  <si>
    <t>390E</t>
  </si>
  <si>
    <t>22E</t>
  </si>
  <si>
    <t>47E</t>
  </si>
  <si>
    <t>4.7E</t>
  </si>
  <si>
    <t>560E</t>
  </si>
  <si>
    <t>33E</t>
  </si>
  <si>
    <t>330E</t>
  </si>
  <si>
    <t>VARIABLE RESISTOR  (PRESET)</t>
  </si>
  <si>
    <t>POTENTIOMETER</t>
  </si>
  <si>
    <t>MICRO</t>
  </si>
  <si>
    <t>NANO</t>
  </si>
  <si>
    <t>PICO</t>
  </si>
  <si>
    <t>5PF</t>
  </si>
  <si>
    <t>220PF</t>
  </si>
  <si>
    <t>33PF</t>
  </si>
  <si>
    <t>680PF</t>
  </si>
  <si>
    <t>VALUE</t>
  </si>
  <si>
    <t xml:space="preserve">0.22UF </t>
  </si>
  <si>
    <t>220NF</t>
  </si>
  <si>
    <t xml:space="preserve">0.02UF </t>
  </si>
  <si>
    <t>20NF</t>
  </si>
  <si>
    <t>10NF</t>
  </si>
  <si>
    <t>-</t>
  </si>
  <si>
    <t>0.0022UF</t>
  </si>
  <si>
    <t>2.2NF</t>
  </si>
  <si>
    <t>1000PF</t>
  </si>
  <si>
    <t>1.0NF</t>
  </si>
  <si>
    <t>0.001UF</t>
  </si>
  <si>
    <t>40NF</t>
  </si>
  <si>
    <t>0.04UF</t>
  </si>
  <si>
    <t>2.2PF</t>
  </si>
  <si>
    <t>4.7PF</t>
  </si>
  <si>
    <t>6.8PF</t>
  </si>
  <si>
    <t>470PF</t>
  </si>
  <si>
    <t>10PF</t>
  </si>
  <si>
    <t>22PF</t>
  </si>
  <si>
    <t>47PF</t>
  </si>
  <si>
    <t>100NF</t>
  </si>
  <si>
    <t>0.1UF</t>
  </si>
  <si>
    <t>82PF</t>
  </si>
  <si>
    <t>68PF</t>
  </si>
  <si>
    <t>0.01UF</t>
  </si>
  <si>
    <t>180PF</t>
  </si>
  <si>
    <t>15PF</t>
  </si>
  <si>
    <t>150PF</t>
  </si>
  <si>
    <t>1 NF</t>
  </si>
  <si>
    <t>1.8NF</t>
  </si>
  <si>
    <t>1.5NF</t>
  </si>
  <si>
    <t>0.0018UF</t>
  </si>
  <si>
    <t>0.0015UF</t>
  </si>
  <si>
    <t>0.005UF</t>
  </si>
  <si>
    <t>5NF</t>
  </si>
  <si>
    <t>0.0039UF</t>
  </si>
  <si>
    <t>3.9NF</t>
  </si>
  <si>
    <t>0.0068UF</t>
  </si>
  <si>
    <t>6.8NF</t>
  </si>
  <si>
    <t>3.3NF</t>
  </si>
  <si>
    <t>0.0033UF</t>
  </si>
  <si>
    <t>3300PF</t>
  </si>
  <si>
    <t>47NF</t>
  </si>
  <si>
    <t>0.047UF</t>
  </si>
  <si>
    <t>820PF</t>
  </si>
  <si>
    <t>3PF</t>
  </si>
  <si>
    <t>300PF</t>
  </si>
  <si>
    <t>0.1NF</t>
  </si>
  <si>
    <t>100PF</t>
  </si>
  <si>
    <t>27PF</t>
  </si>
  <si>
    <t>30PF</t>
  </si>
  <si>
    <t>56PF</t>
  </si>
  <si>
    <t>120PF</t>
  </si>
  <si>
    <t>12PF</t>
  </si>
  <si>
    <t>7PF</t>
  </si>
  <si>
    <t>0.0056UF</t>
  </si>
  <si>
    <t>5.6NF</t>
  </si>
  <si>
    <t>10UF</t>
  </si>
  <si>
    <t>50V</t>
  </si>
  <si>
    <t>VOLT</t>
  </si>
  <si>
    <t>1UF</t>
  </si>
  <si>
    <t>33UF</t>
  </si>
  <si>
    <t>2200UF</t>
  </si>
  <si>
    <t>0.47UF</t>
  </si>
  <si>
    <t>1000UF</t>
  </si>
  <si>
    <t>47UF</t>
  </si>
  <si>
    <t>100UF</t>
  </si>
  <si>
    <t>1.5UF</t>
  </si>
  <si>
    <t>220UF</t>
  </si>
  <si>
    <t>3.3UF</t>
  </si>
  <si>
    <t>16V</t>
  </si>
  <si>
    <t>2.2UF</t>
  </si>
  <si>
    <t>22UF</t>
  </si>
  <si>
    <t>4700UF</t>
  </si>
  <si>
    <t>3300UF</t>
  </si>
  <si>
    <t>330UF</t>
  </si>
  <si>
    <t>470UF</t>
  </si>
  <si>
    <t>4.7UF</t>
  </si>
  <si>
    <t>0.33UF</t>
  </si>
  <si>
    <t>INTEGRATED CIRCUIT</t>
  </si>
  <si>
    <t>MOSFET</t>
  </si>
  <si>
    <t>MICROCONTROLLER</t>
  </si>
  <si>
    <t>OPAMP</t>
  </si>
  <si>
    <t>AT89S52/S51/C52/C51</t>
  </si>
  <si>
    <t>ATMEGA32</t>
  </si>
  <si>
    <t>ATMEGA16</t>
  </si>
  <si>
    <t>ATMEGA8</t>
  </si>
  <si>
    <t>ATMEGA328</t>
  </si>
  <si>
    <t>PIC16F72</t>
  </si>
  <si>
    <t>PIC18F4550</t>
  </si>
  <si>
    <t>ATMEGA8535</t>
  </si>
  <si>
    <t>AT89C2051</t>
  </si>
  <si>
    <t>PIC16F877A</t>
  </si>
  <si>
    <t>Z44</t>
  </si>
  <si>
    <t>SCR</t>
  </si>
  <si>
    <t>2P4M</t>
  </si>
  <si>
    <t>IRF540</t>
  </si>
  <si>
    <t>IRF840</t>
  </si>
  <si>
    <t>IRF460</t>
  </si>
  <si>
    <t>LM386</t>
  </si>
  <si>
    <t>LM741</t>
  </si>
  <si>
    <t>LM324</t>
  </si>
  <si>
    <t>LM334</t>
  </si>
  <si>
    <t>LM358</t>
  </si>
  <si>
    <t>LM224</t>
  </si>
  <si>
    <t>LM567</t>
  </si>
  <si>
    <t>OPTOCOPLAR</t>
  </si>
  <si>
    <t>MOC3021</t>
  </si>
  <si>
    <t>MCT2E</t>
  </si>
  <si>
    <t>MISC.</t>
  </si>
  <si>
    <t>CA3140</t>
  </si>
  <si>
    <t>CA3130</t>
  </si>
  <si>
    <t>ADC0804</t>
  </si>
  <si>
    <t>555 SMD</t>
  </si>
  <si>
    <t>LM3914</t>
  </si>
  <si>
    <t>UM3561</t>
  </si>
  <si>
    <t>LM35</t>
  </si>
  <si>
    <t>ULN2003</t>
  </si>
  <si>
    <t>L293D</t>
  </si>
  <si>
    <t>HT12D</t>
  </si>
  <si>
    <t>HT12E</t>
  </si>
  <si>
    <t>MAX232</t>
  </si>
  <si>
    <t>LM317</t>
  </si>
  <si>
    <t>DS1307</t>
  </si>
  <si>
    <t>HA17393</t>
  </si>
  <si>
    <t>ISD1720</t>
  </si>
  <si>
    <t>UM9121B</t>
  </si>
  <si>
    <t>DS1620</t>
  </si>
  <si>
    <t>TDA2030</t>
  </si>
  <si>
    <t>TDA8510</t>
  </si>
  <si>
    <t>TL071B</t>
  </si>
  <si>
    <t>UM66</t>
  </si>
  <si>
    <t>OSCILATOR</t>
  </si>
  <si>
    <t>4 BIT COUNTER</t>
  </si>
  <si>
    <t>BCD TO 7 SEG.</t>
  </si>
  <si>
    <t>8 BIT SHIFT REG.</t>
  </si>
  <si>
    <t>D TYPE LATCH</t>
  </si>
  <si>
    <t>4 BIT UP DOWN COUNTER</t>
  </si>
  <si>
    <t>BUS TRANSCEIVER</t>
  </si>
  <si>
    <t>ENCODER</t>
  </si>
  <si>
    <t>D TYPE FLIPFLOP</t>
  </si>
  <si>
    <t>MONOSTABLE</t>
  </si>
  <si>
    <t>NOT GATE</t>
  </si>
  <si>
    <t>NOR GATE</t>
  </si>
  <si>
    <t>NAND GATE</t>
  </si>
  <si>
    <t>OR GATE</t>
  </si>
  <si>
    <t>AND GATE</t>
  </si>
  <si>
    <t>X OR GATE</t>
  </si>
  <si>
    <t>BCD TO 7 SEG. DECODER</t>
  </si>
  <si>
    <t>COUNTER</t>
  </si>
  <si>
    <t>BINARY COUNTER</t>
  </si>
  <si>
    <t>INVERTER</t>
  </si>
  <si>
    <t>TRANSISTER ARREY</t>
  </si>
  <si>
    <t>7 SEG. COUNTER</t>
  </si>
  <si>
    <t>ANALOG SWITCH</t>
  </si>
  <si>
    <t>REGISTER</t>
  </si>
  <si>
    <t>J K FLIPFLOP</t>
  </si>
  <si>
    <t>BCD TO DECIMAL</t>
  </si>
  <si>
    <t>TIMER</t>
  </si>
  <si>
    <t>COMPRATOR</t>
  </si>
  <si>
    <t>DECODER</t>
  </si>
  <si>
    <t>TRANSISTOR</t>
  </si>
  <si>
    <t>VOLTAGE REGULATOR</t>
  </si>
  <si>
    <t>BC547</t>
  </si>
  <si>
    <t>BC548</t>
  </si>
  <si>
    <t>BC557</t>
  </si>
  <si>
    <t>BC558</t>
  </si>
  <si>
    <t>BC337</t>
  </si>
  <si>
    <t>BC327</t>
  </si>
  <si>
    <t>BC147</t>
  </si>
  <si>
    <t>BC177</t>
  </si>
  <si>
    <t>BC107</t>
  </si>
  <si>
    <t>2N2222</t>
  </si>
  <si>
    <t>2N3904</t>
  </si>
  <si>
    <t>2N7000</t>
  </si>
  <si>
    <t>SL100(CL100)</t>
  </si>
  <si>
    <t>SK100(CK100)</t>
  </si>
  <si>
    <t>C1815</t>
  </si>
  <si>
    <t>BEL368</t>
  </si>
  <si>
    <t>BEL369</t>
  </si>
  <si>
    <t>BEL187</t>
  </si>
  <si>
    <t>BEL100</t>
  </si>
  <si>
    <t>BD140</t>
  </si>
  <si>
    <t>BD135</t>
  </si>
  <si>
    <t>BT136</t>
  </si>
  <si>
    <t>BT169</t>
  </si>
  <si>
    <t>BD139</t>
  </si>
  <si>
    <t>BF494</t>
  </si>
  <si>
    <t>THYRISTER</t>
  </si>
  <si>
    <t>TYN616</t>
  </si>
  <si>
    <t>THARMISTOR</t>
  </si>
  <si>
    <t>NTC/PTC</t>
  </si>
  <si>
    <t>LASER DIOAD</t>
  </si>
  <si>
    <t>DIACK</t>
  </si>
  <si>
    <t>LDR</t>
  </si>
  <si>
    <t>MODULE</t>
  </si>
  <si>
    <t>SENSOR</t>
  </si>
  <si>
    <t>SOIL MOISTURE</t>
  </si>
  <si>
    <t>MOTOR</t>
  </si>
  <si>
    <t>SERVO (SG90)</t>
  </si>
  <si>
    <t>KEYPAD</t>
  </si>
  <si>
    <t>GPS</t>
  </si>
  <si>
    <t>RAIN</t>
  </si>
  <si>
    <t>TTL</t>
  </si>
  <si>
    <t>SOUND</t>
  </si>
  <si>
    <t>COLOUR</t>
  </si>
  <si>
    <t>GAS SENSOR MQ-5</t>
  </si>
  <si>
    <t>GAS SENSOR MQ-6</t>
  </si>
  <si>
    <t>GAS SENSOR MQ-2</t>
  </si>
  <si>
    <t>GAS SENSOR MQ-3</t>
  </si>
  <si>
    <t>GAS SENSOR MQ-7</t>
  </si>
  <si>
    <t>JOYSTICK</t>
  </si>
  <si>
    <t>CURRENT</t>
  </si>
  <si>
    <t>PELTIAR</t>
  </si>
  <si>
    <t>ARDIUNO NANO</t>
  </si>
  <si>
    <t>ESC</t>
  </si>
  <si>
    <t>I R MODULE</t>
  </si>
  <si>
    <t>PULSE</t>
  </si>
  <si>
    <t>HEARTBEAT</t>
  </si>
  <si>
    <t>REED SWITCH</t>
  </si>
  <si>
    <t>HALL EFFECT</t>
  </si>
  <si>
    <t>TOUCH</t>
  </si>
  <si>
    <t>BUZZER</t>
  </si>
  <si>
    <t>LIGHT CUP</t>
  </si>
  <si>
    <t>RFID</t>
  </si>
  <si>
    <t>AUDIO AMPLIFIER</t>
  </si>
  <si>
    <t>RTC</t>
  </si>
  <si>
    <t>WI-FI</t>
  </si>
  <si>
    <t>SD CARD</t>
  </si>
  <si>
    <t>ACCLEROMETER</t>
  </si>
  <si>
    <t>GYRO</t>
  </si>
  <si>
    <t>VIBRATION</t>
  </si>
  <si>
    <t>HUMIDITY</t>
  </si>
  <si>
    <t>PRESSURE</t>
  </si>
  <si>
    <t>TILT</t>
  </si>
  <si>
    <t>FLEX</t>
  </si>
  <si>
    <t>FLAME</t>
  </si>
  <si>
    <t>VOLTAGE BOOSTER</t>
  </si>
  <si>
    <t>PROXIMITY</t>
  </si>
  <si>
    <t>7 SEGMENT</t>
  </si>
  <si>
    <t>STEPPER MOTOR DRIVER</t>
  </si>
  <si>
    <t>DIGITAL TEMP.</t>
  </si>
  <si>
    <t>Xbee</t>
  </si>
  <si>
    <t>LAZER</t>
  </si>
  <si>
    <t>RGB LED</t>
  </si>
  <si>
    <t>CHARGING CIRCUIT</t>
  </si>
  <si>
    <t>STEPPER</t>
  </si>
  <si>
    <t>NIMA 17</t>
  </si>
  <si>
    <t>BO MOTOR</t>
  </si>
  <si>
    <t>TOY MOTOR</t>
  </si>
  <si>
    <t>FLAT MOTOR</t>
  </si>
  <si>
    <t xml:space="preserve">DOUBLE SHAFT </t>
  </si>
  <si>
    <t>DYNOMO</t>
  </si>
  <si>
    <t>DC MOTOR BIG 1</t>
  </si>
  <si>
    <t>DC MOTOR BIG 2</t>
  </si>
  <si>
    <t>DC GEAR MOTOR</t>
  </si>
  <si>
    <t>10 RPM</t>
  </si>
  <si>
    <t>30 RPM</t>
  </si>
  <si>
    <t>60 RPM</t>
  </si>
  <si>
    <t>WATER PUMP</t>
  </si>
  <si>
    <t>AIR PUMP</t>
  </si>
  <si>
    <t>BLDC MOTOR</t>
  </si>
  <si>
    <t>RC MOTOR</t>
  </si>
  <si>
    <t>SERVO (MG995)</t>
  </si>
  <si>
    <t>SERVO (VS100)</t>
  </si>
  <si>
    <t>SERVO (RS310)</t>
  </si>
  <si>
    <t>SERVO (MEDIUM)</t>
  </si>
  <si>
    <t xml:space="preserve">ULTRASONIC </t>
  </si>
  <si>
    <t>PIR MOTION</t>
  </si>
  <si>
    <t>DIODE</t>
  </si>
  <si>
    <t>ZENER DIODE</t>
  </si>
  <si>
    <t>LCD 16X2</t>
  </si>
  <si>
    <t>ARDUINO UNO</t>
  </si>
  <si>
    <t>ARDUINO MEGA</t>
  </si>
  <si>
    <t>CAMERA OV7670(ARDUINO)</t>
  </si>
  <si>
    <t>GSM SIM 900</t>
  </si>
  <si>
    <t>DTMF</t>
  </si>
  <si>
    <t>ADC MODULE</t>
  </si>
  <si>
    <t>LINE SENSOR</t>
  </si>
  <si>
    <t>MOTOR DRIVER L293D</t>
  </si>
  <si>
    <t>MOTOR DRIVE L298</t>
  </si>
  <si>
    <t>2.4 TFT LCD ARDUINO UNO</t>
  </si>
  <si>
    <t>3.95 TFT LCD ARDUINO</t>
  </si>
  <si>
    <t>3.5 TFT LCD RASPBERRY PI</t>
  </si>
  <si>
    <t>RASPBERRY PI</t>
  </si>
  <si>
    <t>RASPBERRY PI CAMERA</t>
  </si>
  <si>
    <t>ROTATORY ENCODER</t>
  </si>
  <si>
    <t>BALL SWITCH</t>
  </si>
  <si>
    <t>LIGHT BLOCKING</t>
  </si>
  <si>
    <t>TAP MODULE</t>
  </si>
  <si>
    <t>IN4007</t>
  </si>
  <si>
    <t>6A4</t>
  </si>
  <si>
    <t>4.7V</t>
  </si>
  <si>
    <t>5.6V</t>
  </si>
  <si>
    <t>3.3V</t>
  </si>
  <si>
    <t>9V</t>
  </si>
  <si>
    <t>12V</t>
  </si>
  <si>
    <t>3.6V</t>
  </si>
  <si>
    <t>BRIDGE RECTIFIER</t>
  </si>
  <si>
    <t>RELAY MODULE 1 CHANNEL</t>
  </si>
  <si>
    <t>RELAY MODULE 2 CHANNEL</t>
  </si>
  <si>
    <t>RELAY MODULE 4 CHANNEL</t>
  </si>
  <si>
    <t>RELAY MODULE 8 CHANNEL</t>
  </si>
  <si>
    <t>PCB</t>
  </si>
  <si>
    <t>RF TX/RX CIRCUIT</t>
  </si>
  <si>
    <t>RF MODULE</t>
  </si>
  <si>
    <t xml:space="preserve">DPDT REMOTE CONTROL </t>
  </si>
  <si>
    <t>SOLDERING</t>
  </si>
  <si>
    <t xml:space="preserve"> PASTE/FLUX</t>
  </si>
  <si>
    <t>STAND</t>
  </si>
  <si>
    <t>SPONGE</t>
  </si>
  <si>
    <t>DESOLDER PUMP</t>
  </si>
  <si>
    <t>DESOLDER WICK</t>
  </si>
  <si>
    <t>WIRE</t>
  </si>
  <si>
    <t>RIBBON</t>
  </si>
  <si>
    <t>WIRE ROLL</t>
  </si>
  <si>
    <t>JUMPER WIRE M/M</t>
  </si>
  <si>
    <t>JUMPER WIRE M/F</t>
  </si>
  <si>
    <t>JUMPER WIRE F/F</t>
  </si>
  <si>
    <t>2 PIN CONNECTING WIRE</t>
  </si>
  <si>
    <t>3 PIN CONNECTING WIRE</t>
  </si>
  <si>
    <t>BATTERY</t>
  </si>
  <si>
    <t>9 V BATTERY HIW</t>
  </si>
  <si>
    <t>9 V BATTERY RECHARGABLE</t>
  </si>
  <si>
    <t>7.4 V/2000MH</t>
  </si>
  <si>
    <t>4 V/1 AMP</t>
  </si>
  <si>
    <t xml:space="preserve">3.7 V RC </t>
  </si>
  <si>
    <t>12 V/1.3 AMP RECHARGABLE</t>
  </si>
  <si>
    <t>ADAPTOR</t>
  </si>
  <si>
    <t>12V / 1 AMP</t>
  </si>
  <si>
    <t>12V / 2 AMP</t>
  </si>
  <si>
    <t>12V / 3 AMP</t>
  </si>
  <si>
    <t>24V / 2AMP</t>
  </si>
  <si>
    <t>24V / 3AMP</t>
  </si>
  <si>
    <t>12V / 5AMP</t>
  </si>
  <si>
    <t>12V / 10AMP</t>
  </si>
  <si>
    <t>CONNECTORS</t>
  </si>
  <si>
    <t>B STRIP MALE</t>
  </si>
  <si>
    <t>B STRIP FEMALE</t>
  </si>
  <si>
    <t>3.5 MM PHONE JACK</t>
  </si>
  <si>
    <t>USB PORT</t>
  </si>
  <si>
    <t>PVT2</t>
  </si>
  <si>
    <t>DC JACK</t>
  </si>
  <si>
    <t>SWITCH</t>
  </si>
  <si>
    <t>DPDT</t>
  </si>
  <si>
    <t>SLIDDING</t>
  </si>
  <si>
    <t>ON/OFF</t>
  </si>
  <si>
    <t>ON/OFF PCB</t>
  </si>
  <si>
    <t>PUSH (SMALL)</t>
  </si>
  <si>
    <t>PUSH (BIG)</t>
  </si>
  <si>
    <t>DC CONNECTOR WIRE</t>
  </si>
  <si>
    <t>MULTIMETER</t>
  </si>
  <si>
    <t>2 CELL HOLDER</t>
  </si>
  <si>
    <t>4 CELL HOLDER</t>
  </si>
  <si>
    <t>TRANSFORMER</t>
  </si>
  <si>
    <t>6-0-6  500MA</t>
  </si>
  <si>
    <t>9-0-9 500MA</t>
  </si>
  <si>
    <t>12-0-12 500MA</t>
  </si>
  <si>
    <t>9-0-9 1AMP</t>
  </si>
  <si>
    <t>12-0-12 1AMP</t>
  </si>
  <si>
    <t>24 V</t>
  </si>
  <si>
    <t>4X2</t>
  </si>
  <si>
    <t>4X4</t>
  </si>
  <si>
    <t>8X4</t>
  </si>
  <si>
    <t>COND. MIC</t>
  </si>
  <si>
    <t>PIEZO</t>
  </si>
  <si>
    <t>7 SEG. CC</t>
  </si>
  <si>
    <t>7 SEG. CA</t>
  </si>
  <si>
    <t>ELECTRIC TAPE</t>
  </si>
  <si>
    <t>DOUBLE TAPE</t>
  </si>
  <si>
    <t>BREADBOARD</t>
  </si>
  <si>
    <t>MINI BREADBOARD</t>
  </si>
  <si>
    <t>BELT</t>
  </si>
  <si>
    <t>9V BATTERY CONNECTOR</t>
  </si>
  <si>
    <t>SMALL FAN</t>
  </si>
  <si>
    <t>BIG FAN</t>
  </si>
  <si>
    <t>PROPELLER</t>
  </si>
  <si>
    <t>RELAY</t>
  </si>
  <si>
    <t>3 V</t>
  </si>
  <si>
    <t>6 V</t>
  </si>
  <si>
    <t>12 V</t>
  </si>
  <si>
    <t>LED</t>
  </si>
  <si>
    <t>RED</t>
  </si>
  <si>
    <t>GREEN</t>
  </si>
  <si>
    <t>BLUE</t>
  </si>
  <si>
    <t>YELLOW</t>
  </si>
  <si>
    <t>WHITE</t>
  </si>
  <si>
    <t>WHITE BIG</t>
  </si>
  <si>
    <t>RGB 2 PIN</t>
  </si>
  <si>
    <t>RGB 4 PIN</t>
  </si>
  <si>
    <t>SMD</t>
  </si>
  <si>
    <t>IC BASE</t>
  </si>
  <si>
    <t>8 PIN</t>
  </si>
  <si>
    <t>14 PIN</t>
  </si>
  <si>
    <t>16 PIN</t>
  </si>
  <si>
    <t>20 PIN</t>
  </si>
  <si>
    <t>18 PIN</t>
  </si>
  <si>
    <t>24 PIN</t>
  </si>
  <si>
    <t xml:space="preserve">28 PIN </t>
  </si>
  <si>
    <t>40 PIN</t>
  </si>
  <si>
    <t>ZIP SOCKET</t>
  </si>
  <si>
    <t>TSOP1738</t>
  </si>
  <si>
    <t>PHOTO DIODE</t>
  </si>
  <si>
    <t>IR LED</t>
  </si>
  <si>
    <t>SPEAKER</t>
  </si>
  <si>
    <t>MAGNET</t>
  </si>
  <si>
    <t>WHEEL</t>
  </si>
  <si>
    <t>CHASIS</t>
  </si>
  <si>
    <t>SMALL</t>
  </si>
  <si>
    <t>BIG</t>
  </si>
  <si>
    <t>FRONT/CASTER</t>
  </si>
  <si>
    <t>RACK PINION</t>
  </si>
  <si>
    <t>PULLEY</t>
  </si>
  <si>
    <t>GLUE GUN</t>
  </si>
  <si>
    <t>GLUE STICK</t>
  </si>
  <si>
    <t>LOAD CELL</t>
  </si>
  <si>
    <t>THERMOCOUPLE</t>
  </si>
  <si>
    <t>SCREW DRIVER SET</t>
  </si>
  <si>
    <t xml:space="preserve">SCREW DRIVER </t>
  </si>
  <si>
    <t>TESTER</t>
  </si>
  <si>
    <t>2 PIN PLUG</t>
  </si>
  <si>
    <t>HOLDER</t>
  </si>
  <si>
    <t>0 WATT BULB</t>
  </si>
  <si>
    <t>HEAT SINK</t>
  </si>
  <si>
    <t>SLEW</t>
  </si>
  <si>
    <t>SCREW &amp; NUT</t>
  </si>
  <si>
    <t>WIRE CUTTER/WIRE STRIPPER</t>
  </si>
  <si>
    <t>COPPER BOARD</t>
  </si>
  <si>
    <t>FECL3</t>
  </si>
  <si>
    <t>DRILL BIT</t>
  </si>
  <si>
    <t>RESISTOR</t>
  </si>
  <si>
    <t>CAPACITOR  (CERAMIC)</t>
  </si>
  <si>
    <t>CAPACITOR  (ELECTROLYTIC)</t>
  </si>
  <si>
    <t>CAPACITOR ( CIRAMIC)</t>
  </si>
  <si>
    <t>CAPACITOR ( ELECTROLYTIC)</t>
  </si>
  <si>
    <t>CUR QNTY</t>
  </si>
  <si>
    <t>CUR. QNTY</t>
  </si>
  <si>
    <t>XBEE USB BASE</t>
  </si>
  <si>
    <t>I R TX/RX MODULE</t>
  </si>
  <si>
    <t>100 RPM</t>
  </si>
  <si>
    <t>150 RPM</t>
  </si>
  <si>
    <t>200 RPM</t>
  </si>
  <si>
    <t>250 RPM</t>
  </si>
  <si>
    <t>300 RPM</t>
  </si>
  <si>
    <t xml:space="preserve"> 500 RPM</t>
  </si>
  <si>
    <t>1000 RPM</t>
  </si>
  <si>
    <t>RESISTOR BOX</t>
  </si>
  <si>
    <t xml:space="preserve"> WIRE 10G</t>
  </si>
  <si>
    <t xml:space="preserve"> WIRE 50G</t>
  </si>
  <si>
    <t>ANTINA</t>
  </si>
  <si>
    <t>GEARS YELLOW</t>
  </si>
  <si>
    <t>AUTOMATIC STREET LIGHTS</t>
  </si>
  <si>
    <t>WATER LEVEL INDICATOR</t>
  </si>
  <si>
    <t>HALF WAVE RECTIFIER</t>
  </si>
  <si>
    <t>FULL WAVE RECTIFIER</t>
  </si>
  <si>
    <t xml:space="preserve">MINI PROJECTS </t>
  </si>
  <si>
    <t>FIRE ALARM</t>
  </si>
  <si>
    <t>RAIN ALARM</t>
  </si>
  <si>
    <t>BURGLAR ALARM</t>
  </si>
  <si>
    <t>ELECTRONIC LETTER BOX</t>
  </si>
  <si>
    <t>MELODY GENERATOR</t>
  </si>
  <si>
    <t>BATTERY LEVEL INDICATOR</t>
  </si>
  <si>
    <t>TEMPERATURE INDICATOR</t>
  </si>
  <si>
    <t>WORKING OF TRANSFORMER</t>
  </si>
  <si>
    <t>WORKING OF TRANSISTOR</t>
  </si>
  <si>
    <t>WORKING OF CAPACITOR</t>
  </si>
  <si>
    <t>SIMPLE LED ON/OFF</t>
  </si>
  <si>
    <t>DC MOTOR SPEED CONTROL</t>
  </si>
  <si>
    <t>CELL PHONE DETECTOR</t>
  </si>
  <si>
    <t>DC MOTOR DIRECTION CONTROL</t>
  </si>
  <si>
    <t>EMERGENCY LIGHT</t>
  </si>
  <si>
    <t>FOUR TONE SIREN</t>
  </si>
  <si>
    <t>TESLA COIL</t>
  </si>
  <si>
    <t>HEARING AID</t>
  </si>
  <si>
    <t>OBJECT COUNTER</t>
  </si>
  <si>
    <t>REMOTE TESTER</t>
  </si>
  <si>
    <t>REMOTE CONTROL MOTOR ON/OFF</t>
  </si>
  <si>
    <t>TRANSISTOR TESTER</t>
  </si>
  <si>
    <t>VARIABLE POWER SUPPLY</t>
  </si>
  <si>
    <t>WIRE LESS POWER TRANSMISSION</t>
  </si>
  <si>
    <t>ROBOTS</t>
  </si>
  <si>
    <t>OBSTACLE AVOIDING ROBOT</t>
  </si>
  <si>
    <t xml:space="preserve">LINE FOLLOWING </t>
  </si>
  <si>
    <t xml:space="preserve">LIGHT SENSITIVE </t>
  </si>
  <si>
    <t>FIRE SENSITIVE</t>
  </si>
  <si>
    <t>MOBILE CONTROLL</t>
  </si>
  <si>
    <t>EDGE AVOIDING</t>
  </si>
  <si>
    <t>DARK SENSOR</t>
  </si>
  <si>
    <t>MOTION SENSOR</t>
  </si>
  <si>
    <t>SECURITY ALARM</t>
  </si>
  <si>
    <t>HYDROLIC CRANE</t>
  </si>
  <si>
    <t>HYDROLIC BRIDGE</t>
  </si>
  <si>
    <t>BUBBLE GENERATOR</t>
  </si>
  <si>
    <t>WIND MILL</t>
  </si>
  <si>
    <t xml:space="preserve">MICROCONTROLLER </t>
  </si>
  <si>
    <t>LED BLINKING</t>
  </si>
  <si>
    <t>MOTOR ON/OFF</t>
  </si>
  <si>
    <t>LCD DISPLAY</t>
  </si>
  <si>
    <t>PROJECTS</t>
  </si>
  <si>
    <t>REQ.QNTY</t>
  </si>
  <si>
    <t>REQ QNTY</t>
  </si>
  <si>
    <t>RESISTOR(1/4 W)</t>
  </si>
  <si>
    <t>RESISTOR(1 W)</t>
  </si>
  <si>
    <t>REQ. QNTY</t>
  </si>
  <si>
    <t>Misc. Items</t>
  </si>
  <si>
    <t>220 Ohm</t>
  </si>
  <si>
    <t>470 Ohm</t>
  </si>
  <si>
    <t>270 Ohm</t>
  </si>
  <si>
    <t>10 Ohm</t>
  </si>
  <si>
    <t>100 Ohm</t>
  </si>
  <si>
    <t>1 Ohm</t>
  </si>
  <si>
    <t>68 Ohm</t>
  </si>
  <si>
    <t>390 Ohm</t>
  </si>
  <si>
    <t>22 Ohm</t>
  </si>
  <si>
    <t>47 Ohm</t>
  </si>
  <si>
    <t>4.7 Ohm</t>
  </si>
  <si>
    <t>560 Ohm</t>
  </si>
  <si>
    <t>33 Ohm</t>
  </si>
  <si>
    <t>330 Ohm</t>
  </si>
  <si>
    <t>2.2 Ohm</t>
  </si>
  <si>
    <t>680 Ohm</t>
  </si>
  <si>
    <t>120 Ohm</t>
  </si>
  <si>
    <t>150 Ohm</t>
  </si>
  <si>
    <t>180 Ohm</t>
  </si>
  <si>
    <t>820 Ohm</t>
  </si>
  <si>
    <t>56 Ohm</t>
  </si>
  <si>
    <t>1Mega Ohm</t>
  </si>
  <si>
    <t>2.2Mega Ohm</t>
  </si>
  <si>
    <t>47Kilo Ohm</t>
  </si>
  <si>
    <t>10Kilo Ohm</t>
  </si>
  <si>
    <t>5Kilo Ohm</t>
  </si>
  <si>
    <t>82Kilo Ohm</t>
  </si>
  <si>
    <t>22Kilo Ohm</t>
  </si>
  <si>
    <t>8.2Kilo Ohm</t>
  </si>
  <si>
    <t>270Kilo Ohm</t>
  </si>
  <si>
    <t>220Kilo Ohm</t>
  </si>
  <si>
    <t>4.7Kilo Ohm</t>
  </si>
  <si>
    <t>3.3Kilo Ohm</t>
  </si>
  <si>
    <t>150Kilo Ohm</t>
  </si>
  <si>
    <t>6.8Kilo Ohm</t>
  </si>
  <si>
    <t>27Kilo Ohm</t>
  </si>
  <si>
    <t>560Kilo Ohm</t>
  </si>
  <si>
    <t>68Kilo Ohm</t>
  </si>
  <si>
    <t>1.8Kilo Ohm</t>
  </si>
  <si>
    <t>470Kilo Ohm</t>
  </si>
  <si>
    <t>1.5Kilo Ohm</t>
  </si>
  <si>
    <t>2.2Kilo Ohm</t>
  </si>
  <si>
    <t>330Kilo Ohm</t>
  </si>
  <si>
    <t>510Kilo Ohm</t>
  </si>
  <si>
    <t>56Kilo Ohm</t>
  </si>
  <si>
    <t>3.9Kilo Ohm</t>
  </si>
  <si>
    <t>33Kilo Ohm</t>
  </si>
  <si>
    <t>1Kilo Ohm</t>
  </si>
  <si>
    <t>120Kilo Ohm</t>
  </si>
  <si>
    <t>18Kilo Ohm</t>
  </si>
  <si>
    <t>390Kilo Ohm</t>
  </si>
  <si>
    <t>100Kilo Ohm</t>
  </si>
  <si>
    <t>180Kilo Ohm</t>
  </si>
  <si>
    <t>39Kilo Ohm</t>
  </si>
  <si>
    <t>15Kilo Ohm</t>
  </si>
  <si>
    <t>680Kilo Ohm</t>
  </si>
  <si>
    <t>2.7Kilo Ohm</t>
  </si>
  <si>
    <t>200Kilo Ohm</t>
  </si>
  <si>
    <t>12Kilo Ohm</t>
  </si>
  <si>
    <t>5.6Kilo Ohm</t>
  </si>
  <si>
    <t>1.2Kilo Ohm</t>
  </si>
  <si>
    <t>820Kilo Ohm</t>
  </si>
  <si>
    <t>100Ohm</t>
  </si>
  <si>
    <t>33Ohm</t>
  </si>
  <si>
    <t>50Kilo Ohm</t>
  </si>
  <si>
    <t>500Kilo Ohm</t>
  </si>
  <si>
    <t>2Mega ohm</t>
  </si>
  <si>
    <t>WHEEL(Gear motor)</t>
  </si>
  <si>
    <t xml:space="preserve">C </t>
  </si>
  <si>
    <t>S</t>
  </si>
  <si>
    <t>T</t>
  </si>
  <si>
    <t>V</t>
  </si>
  <si>
    <t>SOLAR PANEL - BIG</t>
  </si>
  <si>
    <t>SOLAR PANEL - SMALL</t>
  </si>
  <si>
    <t>MULTI WIRE ROLL</t>
  </si>
  <si>
    <t>BREADBOARD WIRE ROLL</t>
  </si>
  <si>
    <t>AC WIRE ROLL</t>
  </si>
  <si>
    <t>TOGGLE  3 PIN</t>
  </si>
  <si>
    <t>TOGGLE  6 PIN</t>
  </si>
  <si>
    <t>4X6     HIGH</t>
  </si>
  <si>
    <t>4X6     LOW</t>
  </si>
  <si>
    <t>CABLE TIE</t>
  </si>
  <si>
    <t>Retailer</t>
  </si>
  <si>
    <t>594 ,472</t>
  </si>
  <si>
    <t>594  ,  472</t>
  </si>
  <si>
    <t>China</t>
  </si>
  <si>
    <t>594 , 644 , 472</t>
  </si>
  <si>
    <t>594 , 472</t>
  </si>
  <si>
    <t>SOLDERING BIT</t>
  </si>
  <si>
    <t>Components</t>
  </si>
  <si>
    <t>CLAP SWITCH</t>
  </si>
  <si>
    <t>Mini Projects</t>
  </si>
  <si>
    <t>Qnty</t>
  </si>
  <si>
    <t>BLUETOOTH (HC-05)</t>
  </si>
  <si>
    <t>BLUETOOTH (HC-06)</t>
  </si>
  <si>
    <t>CLAP SWITCH WITH LED</t>
  </si>
  <si>
    <t>CLAP SWITCH WITH BUZZER</t>
  </si>
  <si>
    <t>%</t>
  </si>
  <si>
    <t>Quadcopter Base</t>
  </si>
  <si>
    <t>CLAP ON - CLAP OFF</t>
  </si>
  <si>
    <t>Arduino Uno</t>
  </si>
  <si>
    <t>Jumper Wire</t>
  </si>
  <si>
    <t>Buzzer</t>
  </si>
  <si>
    <t>IR Module</t>
  </si>
  <si>
    <t>Ultrasonic Sensor</t>
  </si>
  <si>
    <t>PIR Motion Sensor</t>
  </si>
  <si>
    <t>DC Motor</t>
  </si>
  <si>
    <t>Motor Driver</t>
  </si>
  <si>
    <t>Push Switch</t>
  </si>
  <si>
    <t>Servo Motor</t>
  </si>
  <si>
    <t>Mini Breadboard</t>
  </si>
  <si>
    <t>Wire Cutter</t>
  </si>
  <si>
    <t>Twizzer</t>
  </si>
  <si>
    <t>Tester</t>
  </si>
  <si>
    <t>Box</t>
  </si>
  <si>
    <t>USB Cable</t>
  </si>
  <si>
    <t>LCD 16 X 2</t>
  </si>
  <si>
    <t xml:space="preserve">On/Off  Switch </t>
  </si>
  <si>
    <t xml:space="preserve">Mix Resistor </t>
  </si>
  <si>
    <t xml:space="preserve"> Fan</t>
  </si>
  <si>
    <t>Wires</t>
  </si>
  <si>
    <t xml:space="preserve">Connectors </t>
  </si>
  <si>
    <t>HOME AUTOMATION PRODUCT</t>
  </si>
  <si>
    <t>S.No</t>
  </si>
  <si>
    <t>Items/Components</t>
  </si>
  <si>
    <t>Amt</t>
  </si>
  <si>
    <t>Atmega Board</t>
  </si>
  <si>
    <t>Atmega 328</t>
  </si>
  <si>
    <t>Capacitor</t>
  </si>
  <si>
    <t>Resistor</t>
  </si>
  <si>
    <t>Adaptor</t>
  </si>
  <si>
    <t>Bluetooth</t>
  </si>
  <si>
    <t>Relay</t>
  </si>
  <si>
    <t>PIR Sensor</t>
  </si>
  <si>
    <t>Switch</t>
  </si>
  <si>
    <t>Fuse</t>
  </si>
  <si>
    <t>Wire</t>
  </si>
  <si>
    <t>Diode</t>
  </si>
  <si>
    <t>Ocsillator</t>
  </si>
  <si>
    <t>Transistor</t>
  </si>
  <si>
    <t>HAP Box</t>
  </si>
  <si>
    <t>ARDUINO BASIC STARTER KIT</t>
  </si>
  <si>
    <t>DC Motor Round</t>
  </si>
  <si>
    <t xml:space="preserve"> IRON(White)</t>
  </si>
  <si>
    <t xml:space="preserve"> IRON(Yellow)</t>
  </si>
  <si>
    <t xml:space="preserve">12 V/1 Amp </t>
  </si>
  <si>
    <t>ROLLER/LIMIT</t>
  </si>
  <si>
    <t>Sardar</t>
  </si>
  <si>
    <t>REMOTE CONTROL MOTOR/LED ON/OFF</t>
  </si>
  <si>
    <t>SIMPLE BUZZER ON/OFF</t>
  </si>
  <si>
    <t>SIMPLE MOTOR ON/OFF</t>
  </si>
  <si>
    <t>GEAR</t>
  </si>
  <si>
    <t>8 MM</t>
  </si>
  <si>
    <t>12 MM</t>
  </si>
  <si>
    <t>15 MM</t>
  </si>
  <si>
    <t>18MM</t>
  </si>
  <si>
    <t>21 MM</t>
  </si>
  <si>
    <t>25 MM - BIG</t>
  </si>
  <si>
    <t xml:space="preserve">GEAR </t>
  </si>
  <si>
    <t xml:space="preserve">PULLEY </t>
  </si>
  <si>
    <t>GEAR YELLOW</t>
  </si>
  <si>
    <t>BO MOTOR(3 TYRE)</t>
  </si>
  <si>
    <t>BO MOTOR(4 TYRE)</t>
  </si>
  <si>
    <t>GEAR MOTOR(3 TYRE)</t>
  </si>
  <si>
    <t>GEAR MOTOR(4 TYRE)</t>
  </si>
  <si>
    <t>MOUNT</t>
  </si>
  <si>
    <t>ULTRASONIC</t>
  </si>
  <si>
    <t>STREET LIGHT</t>
  </si>
  <si>
    <t>SOLDERING KIT</t>
  </si>
  <si>
    <t>SOLDERING IRON</t>
  </si>
  <si>
    <t>SOLDERING WIRE</t>
  </si>
  <si>
    <t>WIRE CUTTER</t>
  </si>
  <si>
    <t>TWIZZER</t>
  </si>
  <si>
    <t>WIRES</t>
  </si>
  <si>
    <t>DESOLDERING PUMP</t>
  </si>
  <si>
    <t>ULN2803</t>
  </si>
  <si>
    <t>NODE MCU</t>
  </si>
  <si>
    <t>ASHOK</t>
  </si>
  <si>
    <t>Total</t>
  </si>
  <si>
    <t>Paid</t>
  </si>
  <si>
    <t>Balance</t>
  </si>
  <si>
    <t>Amount</t>
  </si>
  <si>
    <t>Projects</t>
  </si>
  <si>
    <t>Description</t>
  </si>
  <si>
    <t>Date</t>
  </si>
  <si>
    <t>GSM Notice BOARD</t>
  </si>
  <si>
    <t>Atmega328+LCD+Adaptor 2A</t>
  </si>
  <si>
    <t>14.11.2017</t>
  </si>
  <si>
    <t xml:space="preserve">PCB </t>
  </si>
  <si>
    <t>Biometric EVM Machine</t>
  </si>
  <si>
    <t>Smart Platform</t>
  </si>
  <si>
    <t>Atmega328+Adaptor 2A</t>
  </si>
  <si>
    <t>Bluetooth Robot</t>
  </si>
  <si>
    <t>Motor Driver+Programing</t>
  </si>
  <si>
    <t>S.no.</t>
  </si>
  <si>
    <t>Project Name</t>
  </si>
  <si>
    <t>Name</t>
  </si>
  <si>
    <t>Address/college</t>
  </si>
  <si>
    <t>Year</t>
  </si>
  <si>
    <t>Contact no.</t>
  </si>
  <si>
    <t>30.10.2017</t>
  </si>
  <si>
    <t>Smart Helmet System</t>
  </si>
  <si>
    <t>Ayushi Sharma</t>
  </si>
  <si>
    <t>4th</t>
  </si>
  <si>
    <t>GSM Based Energy Meter</t>
  </si>
  <si>
    <t>Kaushur</t>
  </si>
  <si>
    <t>DTMF Based Robot</t>
  </si>
  <si>
    <t>Satyam/Saket</t>
  </si>
  <si>
    <t>8404915664/9711731924</t>
  </si>
  <si>
    <t>06.11.2017</t>
  </si>
  <si>
    <t>Theft detection &amp; Vehicle Safety</t>
  </si>
  <si>
    <t>Shreyash</t>
  </si>
  <si>
    <t>3rd</t>
  </si>
  <si>
    <t>07.11.2017</t>
  </si>
  <si>
    <t>Automatic Solar Irrigation System</t>
  </si>
  <si>
    <t>Vir Vikram Singh Chauhan</t>
  </si>
  <si>
    <t>Women Security System</t>
  </si>
  <si>
    <r>
      <t>Satyam/</t>
    </r>
    <r>
      <rPr>
        <b/>
        <sz val="11"/>
        <color theme="1"/>
        <rFont val="Calibri"/>
        <family val="2"/>
        <scheme val="minor"/>
      </rPr>
      <t>Saket</t>
    </r>
  </si>
  <si>
    <t>9811731924/9711731924</t>
  </si>
  <si>
    <t>Universal IR Remote Control using Arduino - android</t>
  </si>
  <si>
    <t>Anirudh</t>
  </si>
  <si>
    <t>Alcohol Sensing &amp; Car locking</t>
  </si>
  <si>
    <t>Sunny/Devashish</t>
  </si>
  <si>
    <t>9643236889/8506048551</t>
  </si>
  <si>
    <t>RFID Based Car Parking</t>
  </si>
  <si>
    <t>Khushal/Ayush</t>
  </si>
  <si>
    <t>9891898386/8077640251</t>
  </si>
  <si>
    <t>Obstacle avoiding robot</t>
  </si>
  <si>
    <t>Rahul</t>
  </si>
  <si>
    <t>Electronic Eye Controll Security System</t>
  </si>
  <si>
    <t>Surbhi/Alpana</t>
  </si>
  <si>
    <t>9415935887/9069666159</t>
  </si>
  <si>
    <t>Bidiractional Visitor Counter</t>
  </si>
  <si>
    <t>Shubham/Ashitosh</t>
  </si>
  <si>
    <t>9452107103/9161693873</t>
  </si>
  <si>
    <t>Underground cable fault detection</t>
  </si>
  <si>
    <t>Lakshika</t>
  </si>
  <si>
    <t>8802343926/9870218397</t>
  </si>
  <si>
    <t>15.11.2017</t>
  </si>
  <si>
    <t>Arduino - Bluetooth based Home Automation System</t>
  </si>
  <si>
    <t>Shivam Rawat</t>
  </si>
  <si>
    <t>Gautam Buddha University</t>
  </si>
  <si>
    <t>Sharda University</t>
  </si>
  <si>
    <t>Galgotias University</t>
  </si>
  <si>
    <t>Jaypee Institute of Information Technology, Noida</t>
  </si>
  <si>
    <t>Noida Institute of Engineering and Technology</t>
  </si>
  <si>
    <t>Shiv Nadar University</t>
  </si>
  <si>
    <t>IEC College of Engineering and Technology</t>
  </si>
  <si>
    <t>Greater Noida Institute of technology</t>
  </si>
  <si>
    <t>17.11.2017</t>
  </si>
  <si>
    <t>Shivam /Manoj</t>
  </si>
  <si>
    <t>9540024454/7500629261</t>
  </si>
  <si>
    <t>Real Time Automatic Irrigation System</t>
  </si>
  <si>
    <t>GSM Based Home Automation System Using Arduino</t>
  </si>
  <si>
    <t>Refaq/Rehman</t>
  </si>
  <si>
    <t>8743841132/7827020808</t>
  </si>
  <si>
    <t>18.11.2017</t>
  </si>
  <si>
    <t>Automatic Room light controller</t>
  </si>
  <si>
    <t>harshit/Chandan</t>
  </si>
  <si>
    <t>8009171823/7053384711</t>
  </si>
  <si>
    <t>Components Given</t>
  </si>
  <si>
    <t>Arduino Uno+Cable , 4 Ch Relay Module</t>
  </si>
  <si>
    <t>Arduino Uno+Cable,GSM,Relay Circuit,Adaptor</t>
  </si>
  <si>
    <t>20.11.2017</t>
  </si>
  <si>
    <t>Solar Irrigation System</t>
  </si>
  <si>
    <t>Kajal</t>
  </si>
  <si>
    <t>I.T.S Engineering College</t>
  </si>
  <si>
    <t>21.11.2017</t>
  </si>
  <si>
    <t>Pulkit/Jyoti</t>
  </si>
  <si>
    <t>9717089679/8527536832</t>
  </si>
  <si>
    <t>Speaking Clock with Arduino(Real Time Clock)</t>
  </si>
  <si>
    <t>Relay 6V</t>
  </si>
  <si>
    <t>Connector</t>
  </si>
  <si>
    <t>Automatic Transformer Load Sharing Using Microcontroller</t>
  </si>
  <si>
    <t>Manish Choubey</t>
  </si>
  <si>
    <t>9540211200/9044353773</t>
  </si>
  <si>
    <t>Atmega Board,Adaptor</t>
  </si>
  <si>
    <t>26.11.2017</t>
  </si>
  <si>
    <t>10.11.2017</t>
  </si>
  <si>
    <t>22.11.2017</t>
  </si>
  <si>
    <t>RFID CARD</t>
  </si>
  <si>
    <t>5 V</t>
  </si>
  <si>
    <t>23.11.2017</t>
  </si>
  <si>
    <t>24.11.2014</t>
  </si>
  <si>
    <t>Street Light That Glow On Detecting Vehicle Movement</t>
  </si>
  <si>
    <t>Akarshit/Vicky</t>
  </si>
  <si>
    <t>7800343453/9873839011</t>
  </si>
  <si>
    <t>25.11.2017</t>
  </si>
  <si>
    <t>Home Appliance Controll</t>
  </si>
  <si>
    <t>Sudhanshu</t>
  </si>
  <si>
    <t>30.11.2017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</si>
</sst>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Times New Roman"/>
      <family val="1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9">
    <xf numFmtId="0" fontId="0" fillId="0" borderId="0" xfId="0"/>
    <xf numFmtId="0" fontId="0" fillId="0" borderId="1" xfId="0" applyBorder="1"/>
    <xf numFmtId="0" fontId="0" fillId="0" borderId="1" xfId="0" applyFill="1" applyBorder="1"/>
    <xf numFmtId="0" fontId="1" fillId="0" borderId="3" xfId="0" applyFont="1" applyBorder="1"/>
    <xf numFmtId="0" fontId="0" fillId="0" borderId="0" xfId="0" applyBorder="1"/>
    <xf numFmtId="0" fontId="1" fillId="0" borderId="1" xfId="0" applyFont="1" applyBorder="1" applyAlignment="1">
      <alignment horizontal="center"/>
    </xf>
    <xf numFmtId="0" fontId="1" fillId="0" borderId="6" xfId="0" applyFont="1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3" xfId="0" applyFont="1" applyBorder="1"/>
    <xf numFmtId="0" fontId="0" fillId="0" borderId="17" xfId="0" applyBorder="1"/>
    <xf numFmtId="0" fontId="0" fillId="0" borderId="1" xfId="0" applyFont="1" applyBorder="1"/>
    <xf numFmtId="0" fontId="1" fillId="0" borderId="19" xfId="0" applyFont="1" applyBorder="1"/>
    <xf numFmtId="0" fontId="1" fillId="0" borderId="16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2" borderId="1" xfId="0" applyFill="1" applyBorder="1"/>
    <xf numFmtId="0" fontId="1" fillId="0" borderId="1" xfId="0" applyFont="1" applyBorder="1" applyAlignment="1">
      <alignment horizontal="left"/>
    </xf>
    <xf numFmtId="0" fontId="0" fillId="2" borderId="1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1" fillId="0" borderId="16" xfId="0" applyFont="1" applyBorder="1"/>
    <xf numFmtId="0" fontId="0" fillId="0" borderId="1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0" fontId="1" fillId="0" borderId="13" xfId="0" applyFont="1" applyBorder="1" applyAlignment="1">
      <alignment horizontal="center"/>
    </xf>
    <xf numFmtId="0" fontId="1" fillId="0" borderId="8" xfId="0" applyFont="1" applyBorder="1" applyAlignment="1">
      <alignment horizontal="left"/>
    </xf>
    <xf numFmtId="0" fontId="0" fillId="0" borderId="0" xfId="0" applyAlignment="1">
      <alignment horizontal="left"/>
    </xf>
    <xf numFmtId="0" fontId="1" fillId="0" borderId="3" xfId="0" applyFont="1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20" xfId="0" applyBorder="1" applyAlignment="1">
      <alignment horizontal="left"/>
    </xf>
    <xf numFmtId="0" fontId="1" fillId="0" borderId="1" xfId="0" applyFont="1" applyFill="1" applyBorder="1" applyAlignment="1">
      <alignment horizontal="left"/>
    </xf>
    <xf numFmtId="0" fontId="1" fillId="0" borderId="16" xfId="0" applyFont="1" applyBorder="1" applyAlignment="1">
      <alignment horizontal="left"/>
    </xf>
    <xf numFmtId="0" fontId="0" fillId="2" borderId="2" xfId="0" applyFill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4" xfId="0" applyFont="1" applyBorder="1"/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1" fillId="0" borderId="15" xfId="0" applyFont="1" applyBorder="1" applyAlignment="1">
      <alignment horizontal="center"/>
    </xf>
    <xf numFmtId="2" fontId="0" fillId="0" borderId="2" xfId="0" applyNumberFormat="1" applyBorder="1"/>
    <xf numFmtId="0" fontId="1" fillId="0" borderId="0" xfId="0" applyFont="1" applyFill="1" applyBorder="1" applyAlignment="1">
      <alignment horizontal="center"/>
    </xf>
    <xf numFmtId="2" fontId="0" fillId="0" borderId="0" xfId="0" applyNumberFormat="1"/>
    <xf numFmtId="0" fontId="0" fillId="0" borderId="11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1" fillId="0" borderId="22" xfId="0" applyFont="1" applyFill="1" applyBorder="1" applyAlignment="1">
      <alignment horizontal="center"/>
    </xf>
    <xf numFmtId="3" fontId="0" fillId="0" borderId="0" xfId="0" applyNumberFormat="1"/>
    <xf numFmtId="3" fontId="0" fillId="0" borderId="1" xfId="0" applyNumberFormat="1" applyBorder="1" applyAlignment="1">
      <alignment horizontal="center"/>
    </xf>
    <xf numFmtId="0" fontId="1" fillId="0" borderId="0" xfId="0" applyFont="1" applyBorder="1"/>
    <xf numFmtId="0" fontId="0" fillId="0" borderId="16" xfId="0" applyBorder="1"/>
    <xf numFmtId="0" fontId="0" fillId="0" borderId="16" xfId="0" applyFill="1" applyBorder="1"/>
    <xf numFmtId="0" fontId="1" fillId="0" borderId="3" xfId="0" applyFont="1" applyBorder="1" applyAlignment="1">
      <alignment horizontal="center"/>
    </xf>
    <xf numFmtId="0" fontId="1" fillId="0" borderId="21" xfId="0" applyFont="1" applyBorder="1"/>
    <xf numFmtId="0" fontId="1" fillId="0" borderId="14" xfId="0" applyFont="1" applyBorder="1"/>
    <xf numFmtId="0" fontId="1" fillId="0" borderId="23" xfId="0" applyFont="1" applyBorder="1"/>
    <xf numFmtId="0" fontId="1" fillId="0" borderId="15" xfId="0" applyFont="1" applyBorder="1"/>
    <xf numFmtId="0" fontId="0" fillId="0" borderId="4" xfId="0" applyBorder="1"/>
    <xf numFmtId="0" fontId="0" fillId="0" borderId="5" xfId="0" applyBorder="1"/>
    <xf numFmtId="0" fontId="1" fillId="0" borderId="23" xfId="0" applyFont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1" fillId="2" borderId="1" xfId="0" applyFont="1" applyFill="1" applyBorder="1" applyAlignment="1">
      <alignment horizontal="left"/>
    </xf>
    <xf numFmtId="0" fontId="0" fillId="2" borderId="12" xfId="0" applyFill="1" applyBorder="1" applyAlignment="1">
      <alignment horizontal="left"/>
    </xf>
    <xf numFmtId="2" fontId="0" fillId="2" borderId="2" xfId="0" applyNumberFormat="1" applyFill="1" applyBorder="1"/>
    <xf numFmtId="0" fontId="0" fillId="2" borderId="0" xfId="0" applyFill="1"/>
    <xf numFmtId="0" fontId="0" fillId="0" borderId="24" xfId="0" applyBorder="1"/>
    <xf numFmtId="2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5" xfId="0" applyBorder="1"/>
    <xf numFmtId="0" fontId="0" fillId="0" borderId="26" xfId="0" applyBorder="1" applyAlignment="1">
      <alignment horizontal="center"/>
    </xf>
    <xf numFmtId="2" fontId="0" fillId="0" borderId="26" xfId="0" applyNumberFormat="1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 applyAlignment="1">
      <alignment horizontal="center"/>
    </xf>
    <xf numFmtId="2" fontId="0" fillId="0" borderId="31" xfId="0" applyNumberFormat="1" applyBorder="1" applyAlignment="1">
      <alignment horizontal="center"/>
    </xf>
    <xf numFmtId="0" fontId="0" fillId="0" borderId="31" xfId="0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1" fillId="0" borderId="1" xfId="0" applyFont="1" applyBorder="1"/>
    <xf numFmtId="0" fontId="4" fillId="0" borderId="0" xfId="0" applyFont="1"/>
    <xf numFmtId="0" fontId="1" fillId="0" borderId="1" xfId="0" applyFont="1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" fillId="0" borderId="1" xfId="0" applyNumberFormat="1" applyFont="1" applyBorder="1"/>
    <xf numFmtId="0" fontId="1" fillId="0" borderId="19" xfId="0" applyFont="1" applyBorder="1" applyAlignment="1">
      <alignment horizontal="center"/>
    </xf>
    <xf numFmtId="0" fontId="5" fillId="0" borderId="1" xfId="0" applyFont="1" applyBorder="1"/>
    <xf numFmtId="0" fontId="0" fillId="0" borderId="0" xfId="0" applyFill="1"/>
    <xf numFmtId="0" fontId="0" fillId="0" borderId="33" xfId="0" applyBorder="1"/>
    <xf numFmtId="0" fontId="0" fillId="0" borderId="34" xfId="0" applyBorder="1"/>
    <xf numFmtId="0" fontId="1" fillId="0" borderId="32" xfId="0" applyFont="1" applyBorder="1"/>
    <xf numFmtId="0" fontId="1" fillId="0" borderId="35" xfId="0" applyFont="1" applyFill="1" applyBorder="1" applyAlignment="1">
      <alignment horizontal="center"/>
    </xf>
    <xf numFmtId="0" fontId="1" fillId="0" borderId="36" xfId="0" applyFont="1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0" fontId="1" fillId="0" borderId="42" xfId="0" applyFont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0" xfId="0" applyFill="1"/>
    <xf numFmtId="0" fontId="0" fillId="0" borderId="12" xfId="0" applyFont="1" applyFill="1" applyBorder="1" applyAlignment="1">
      <alignment horizontal="left"/>
    </xf>
    <xf numFmtId="2" fontId="0" fillId="0" borderId="2" xfId="0" applyNumberFormat="1" applyFill="1" applyBorder="1"/>
    <xf numFmtId="0" fontId="0" fillId="0" borderId="12" xfId="0" applyFill="1" applyBorder="1" applyAlignment="1">
      <alignment horizontal="left"/>
    </xf>
    <xf numFmtId="0" fontId="1" fillId="0" borderId="23" xfId="0" applyFont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1" fillId="0" borderId="2" xfId="0" applyFont="1" applyBorder="1" applyAlignment="1">
      <alignment horizontal="center"/>
    </xf>
    <xf numFmtId="0" fontId="0" fillId="0" borderId="37" xfId="0" applyBorder="1"/>
    <xf numFmtId="0" fontId="0" fillId="0" borderId="38" xfId="0" applyBorder="1"/>
    <xf numFmtId="0" fontId="1" fillId="0" borderId="15" xfId="0" applyFont="1" applyBorder="1" applyAlignment="1">
      <alignment horizontal="left"/>
    </xf>
    <xf numFmtId="0" fontId="1" fillId="0" borderId="43" xfId="0" applyFont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3" borderId="1" xfId="0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O57"/>
  <sheetViews>
    <sheetView workbookViewId="0">
      <selection activeCell="K26" sqref="K26"/>
    </sheetView>
  </sheetViews>
  <sheetFormatPr defaultRowHeight="15"/>
  <cols>
    <col min="1" max="1" width="2" customWidth="1"/>
    <col min="2" max="2" width="12.85546875" customWidth="1"/>
    <col min="5" max="5" width="4.5703125" customWidth="1"/>
    <col min="10" max="10" width="4.140625" customWidth="1"/>
    <col min="13" max="13" width="10.5703125" customWidth="1"/>
    <col min="14" max="14" width="32.5703125" bestFit="1" customWidth="1"/>
    <col min="15" max="15" width="9.140625" style="8"/>
  </cols>
  <sheetData>
    <row r="1" spans="2:15" ht="15.75" thickBot="1"/>
    <row r="2" spans="2:15" ht="15.75" thickBot="1">
      <c r="B2" s="65" t="s">
        <v>469</v>
      </c>
      <c r="F2" s="3" t="s">
        <v>470</v>
      </c>
      <c r="G2" s="69"/>
      <c r="H2" s="70"/>
      <c r="K2" s="3" t="s">
        <v>471</v>
      </c>
      <c r="L2" s="69"/>
      <c r="N2" s="66" t="s">
        <v>635</v>
      </c>
      <c r="O2" s="49" t="s">
        <v>636</v>
      </c>
    </row>
    <row r="3" spans="2:15" ht="15.75" thickBot="1">
      <c r="B3" s="66" t="s">
        <v>0</v>
      </c>
      <c r="C3" s="67" t="s">
        <v>1</v>
      </c>
      <c r="D3" s="68" t="s">
        <v>2</v>
      </c>
      <c r="F3" s="3" t="s">
        <v>38</v>
      </c>
      <c r="G3" s="19" t="s">
        <v>31</v>
      </c>
      <c r="H3" s="71" t="s">
        <v>32</v>
      </c>
      <c r="I3" s="49" t="s">
        <v>33</v>
      </c>
      <c r="K3" s="73" t="s">
        <v>31</v>
      </c>
      <c r="L3" s="68" t="s">
        <v>98</v>
      </c>
      <c r="N3" s="21" t="s">
        <v>490</v>
      </c>
      <c r="O3" s="18">
        <v>7</v>
      </c>
    </row>
    <row r="4" spans="2:15">
      <c r="B4" s="17" t="s">
        <v>21</v>
      </c>
      <c r="C4" s="17" t="s">
        <v>15</v>
      </c>
      <c r="D4" s="17"/>
      <c r="F4" s="18">
        <v>203</v>
      </c>
      <c r="G4" s="18" t="s">
        <v>41</v>
      </c>
      <c r="H4" s="18" t="s">
        <v>42</v>
      </c>
      <c r="I4" s="18" t="s">
        <v>44</v>
      </c>
      <c r="K4" s="72" t="s">
        <v>96</v>
      </c>
      <c r="L4" s="72" t="s">
        <v>97</v>
      </c>
      <c r="N4" s="62" t="s">
        <v>491</v>
      </c>
      <c r="O4" s="7">
        <v>7</v>
      </c>
    </row>
    <row r="5" spans="2:15">
      <c r="B5" s="1" t="s">
        <v>22</v>
      </c>
      <c r="C5" s="1" t="s">
        <v>3</v>
      </c>
      <c r="D5" s="1"/>
      <c r="F5" s="7">
        <v>224</v>
      </c>
      <c r="G5" s="7" t="s">
        <v>39</v>
      </c>
      <c r="H5" s="7" t="s">
        <v>40</v>
      </c>
      <c r="I5" s="7" t="s">
        <v>44</v>
      </c>
      <c r="K5" s="16" t="s">
        <v>99</v>
      </c>
      <c r="L5" s="16" t="s">
        <v>97</v>
      </c>
      <c r="N5" s="62" t="s">
        <v>492</v>
      </c>
      <c r="O5" s="7">
        <v>6</v>
      </c>
    </row>
    <row r="6" spans="2:15">
      <c r="B6" s="1" t="s">
        <v>23</v>
      </c>
      <c r="C6" s="1" t="s">
        <v>4</v>
      </c>
      <c r="D6" s="1"/>
      <c r="F6" s="7">
        <v>103</v>
      </c>
      <c r="G6" s="7" t="s">
        <v>63</v>
      </c>
      <c r="H6" s="7" t="s">
        <v>43</v>
      </c>
      <c r="I6" s="7" t="s">
        <v>44</v>
      </c>
      <c r="K6" s="1"/>
      <c r="L6" s="1"/>
      <c r="N6" s="62" t="s">
        <v>493</v>
      </c>
      <c r="O6" s="7">
        <v>5</v>
      </c>
    </row>
    <row r="7" spans="2:15">
      <c r="B7" s="1" t="s">
        <v>24</v>
      </c>
      <c r="C7" s="1" t="s">
        <v>5</v>
      </c>
      <c r="D7" s="1"/>
      <c r="F7" s="7">
        <v>222</v>
      </c>
      <c r="G7" s="7" t="s">
        <v>45</v>
      </c>
      <c r="H7" s="7" t="s">
        <v>46</v>
      </c>
      <c r="I7" s="7" t="s">
        <v>44</v>
      </c>
      <c r="N7" s="62" t="s">
        <v>634</v>
      </c>
      <c r="O7" s="7">
        <v>7</v>
      </c>
    </row>
    <row r="8" spans="2:15">
      <c r="B8" s="1" t="s">
        <v>25</v>
      </c>
      <c r="C8" s="1" t="s">
        <v>6</v>
      </c>
      <c r="D8" s="1"/>
      <c r="F8" s="7">
        <v>5</v>
      </c>
      <c r="G8" s="7" t="s">
        <v>44</v>
      </c>
      <c r="H8" s="7" t="s">
        <v>44</v>
      </c>
      <c r="I8" s="7" t="s">
        <v>34</v>
      </c>
      <c r="N8" s="62" t="s">
        <v>337</v>
      </c>
      <c r="O8" s="7">
        <v>0</v>
      </c>
    </row>
    <row r="9" spans="2:15">
      <c r="B9" s="1" t="s">
        <v>26</v>
      </c>
      <c r="C9" s="1" t="s">
        <v>7</v>
      </c>
      <c r="D9" s="1"/>
      <c r="F9" s="7">
        <v>33</v>
      </c>
      <c r="G9" s="7"/>
      <c r="H9" s="7"/>
      <c r="I9" s="7" t="s">
        <v>36</v>
      </c>
      <c r="N9" s="62" t="s">
        <v>184</v>
      </c>
      <c r="O9" s="7">
        <v>1</v>
      </c>
    </row>
    <row r="10" spans="2:15">
      <c r="B10" s="1" t="s">
        <v>28</v>
      </c>
      <c r="C10" s="1" t="s">
        <v>8</v>
      </c>
      <c r="D10" s="1"/>
      <c r="F10" s="7">
        <v>102</v>
      </c>
      <c r="G10" s="7" t="s">
        <v>49</v>
      </c>
      <c r="H10" s="7" t="s">
        <v>48</v>
      </c>
      <c r="I10" s="7" t="s">
        <v>47</v>
      </c>
      <c r="N10" s="62" t="s">
        <v>185</v>
      </c>
      <c r="O10" s="7">
        <v>3</v>
      </c>
    </row>
    <row r="11" spans="2:15">
      <c r="B11" s="1" t="s">
        <v>27</v>
      </c>
      <c r="C11" s="1" t="s">
        <v>9</v>
      </c>
      <c r="D11" s="1"/>
      <c r="F11" s="7">
        <v>403</v>
      </c>
      <c r="G11" s="7" t="s">
        <v>51</v>
      </c>
      <c r="H11" s="7" t="s">
        <v>50</v>
      </c>
      <c r="I11" s="7"/>
      <c r="N11" s="62" t="s">
        <v>182</v>
      </c>
      <c r="O11" s="7">
        <v>2</v>
      </c>
    </row>
    <row r="12" spans="2:15">
      <c r="B12" s="1"/>
      <c r="C12" s="1" t="s">
        <v>10</v>
      </c>
      <c r="D12" s="1"/>
      <c r="F12" s="7"/>
      <c r="G12" s="7"/>
      <c r="H12" s="7"/>
      <c r="I12" s="7" t="s">
        <v>52</v>
      </c>
      <c r="N12" s="62" t="s">
        <v>183</v>
      </c>
      <c r="O12" s="7">
        <v>2</v>
      </c>
    </row>
    <row r="13" spans="2:15">
      <c r="B13" s="1"/>
      <c r="C13" s="1" t="s">
        <v>11</v>
      </c>
      <c r="D13" s="1"/>
      <c r="F13" s="7"/>
      <c r="G13" s="7"/>
      <c r="H13" s="7"/>
      <c r="I13" s="7" t="s">
        <v>37</v>
      </c>
      <c r="N13" s="62" t="s">
        <v>181</v>
      </c>
      <c r="O13" s="7">
        <v>0</v>
      </c>
    </row>
    <row r="14" spans="2:15">
      <c r="B14" s="1"/>
      <c r="C14" s="1" t="s">
        <v>12</v>
      </c>
      <c r="D14" s="1"/>
      <c r="F14" s="7"/>
      <c r="G14" s="7"/>
      <c r="H14" s="7"/>
      <c r="I14" s="7" t="s">
        <v>35</v>
      </c>
      <c r="N14" s="62" t="s">
        <v>495</v>
      </c>
      <c r="O14" s="7">
        <v>2</v>
      </c>
    </row>
    <row r="15" spans="2:15">
      <c r="B15" s="1"/>
      <c r="C15" s="1" t="s">
        <v>13</v>
      </c>
      <c r="D15" s="1"/>
      <c r="F15" s="13"/>
      <c r="G15" s="13"/>
      <c r="H15" s="13"/>
      <c r="I15" s="7"/>
      <c r="N15" s="62" t="s">
        <v>496</v>
      </c>
      <c r="O15" s="7">
        <v>2</v>
      </c>
    </row>
    <row r="16" spans="2:15">
      <c r="B16" s="1"/>
      <c r="C16" s="1" t="s">
        <v>14</v>
      </c>
      <c r="D16" s="1"/>
      <c r="F16" s="16"/>
      <c r="G16" s="16"/>
      <c r="H16" s="16"/>
      <c r="I16" s="7"/>
      <c r="N16" s="62" t="s">
        <v>497</v>
      </c>
      <c r="O16" s="7">
        <v>4</v>
      </c>
    </row>
    <row r="17" spans="2:15">
      <c r="B17" s="1"/>
      <c r="C17" s="1" t="s">
        <v>16</v>
      </c>
      <c r="D17" s="1"/>
      <c r="N17" s="62" t="s">
        <v>498</v>
      </c>
      <c r="O17" s="7">
        <v>2</v>
      </c>
    </row>
    <row r="18" spans="2:15">
      <c r="B18" s="1"/>
      <c r="C18" s="1" t="s">
        <v>17</v>
      </c>
      <c r="D18" s="1"/>
      <c r="N18" s="62" t="s">
        <v>499</v>
      </c>
      <c r="O18" s="7"/>
    </row>
    <row r="19" spans="2:15">
      <c r="B19" s="1"/>
      <c r="C19" s="1" t="s">
        <v>18</v>
      </c>
      <c r="D19" s="1"/>
      <c r="N19" s="62" t="s">
        <v>500</v>
      </c>
      <c r="O19" s="7">
        <v>1</v>
      </c>
    </row>
    <row r="20" spans="2:15">
      <c r="B20" s="1"/>
      <c r="C20" s="1" t="s">
        <v>19</v>
      </c>
      <c r="D20" s="1"/>
      <c r="N20" s="62" t="s">
        <v>501</v>
      </c>
      <c r="O20" s="7"/>
    </row>
    <row r="21" spans="2:15">
      <c r="B21" s="1"/>
      <c r="C21" s="1" t="s">
        <v>20</v>
      </c>
      <c r="D21" s="1"/>
      <c r="N21" s="62" t="s">
        <v>502</v>
      </c>
      <c r="O21" s="7"/>
    </row>
    <row r="22" spans="2:15">
      <c r="N22" s="62" t="s">
        <v>503</v>
      </c>
      <c r="O22" s="7">
        <v>2</v>
      </c>
    </row>
    <row r="23" spans="2:15">
      <c r="N23" s="62" t="s">
        <v>504</v>
      </c>
      <c r="O23" s="7">
        <v>6</v>
      </c>
    </row>
    <row r="24" spans="2:15">
      <c r="N24" s="62" t="s">
        <v>505</v>
      </c>
      <c r="O24" s="7"/>
    </row>
    <row r="25" spans="2:15">
      <c r="N25" s="62" t="s">
        <v>506</v>
      </c>
      <c r="O25" s="7">
        <v>3</v>
      </c>
    </row>
    <row r="26" spans="2:15">
      <c r="N26" s="62" t="s">
        <v>507</v>
      </c>
      <c r="O26" s="7"/>
    </row>
    <row r="27" spans="2:15">
      <c r="N27" s="62" t="s">
        <v>508</v>
      </c>
      <c r="O27" s="7"/>
    </row>
    <row r="28" spans="2:15">
      <c r="N28" s="62" t="s">
        <v>509</v>
      </c>
      <c r="O28" s="7"/>
    </row>
    <row r="29" spans="2:15">
      <c r="N29" s="62" t="s">
        <v>510</v>
      </c>
      <c r="O29" s="7"/>
    </row>
    <row r="30" spans="2:15">
      <c r="N30" s="62" t="s">
        <v>190</v>
      </c>
      <c r="O30" s="7"/>
    </row>
    <row r="31" spans="2:15">
      <c r="N31" s="62" t="s">
        <v>511</v>
      </c>
      <c r="O31" s="7">
        <v>1</v>
      </c>
    </row>
    <row r="32" spans="2:15">
      <c r="N32" s="62" t="s">
        <v>512</v>
      </c>
      <c r="O32" s="7"/>
    </row>
    <row r="33" spans="14:15">
      <c r="N33" s="62" t="s">
        <v>513</v>
      </c>
      <c r="O33" s="7"/>
    </row>
    <row r="34" spans="14:15">
      <c r="N34" s="62" t="s">
        <v>514</v>
      </c>
      <c r="O34" s="7">
        <v>2</v>
      </c>
    </row>
    <row r="35" spans="14:15">
      <c r="N35" s="62" t="s">
        <v>515</v>
      </c>
      <c r="O35" s="7"/>
    </row>
    <row r="36" spans="14:15">
      <c r="N36" s="62" t="s">
        <v>516</v>
      </c>
      <c r="O36" s="7"/>
    </row>
    <row r="37" spans="14:15">
      <c r="N37" s="63" t="s">
        <v>517</v>
      </c>
      <c r="O37" s="7"/>
    </row>
    <row r="38" spans="14:15">
      <c r="N38" s="63" t="s">
        <v>518</v>
      </c>
      <c r="O38" s="7"/>
    </row>
    <row r="39" spans="14:15">
      <c r="N39" s="63" t="s">
        <v>526</v>
      </c>
      <c r="O39" s="7">
        <v>1</v>
      </c>
    </row>
    <row r="40" spans="14:15">
      <c r="N40" s="63" t="s">
        <v>527</v>
      </c>
      <c r="O40" s="7"/>
    </row>
    <row r="41" spans="14:15">
      <c r="N41" s="63" t="s">
        <v>528</v>
      </c>
      <c r="O41" s="7">
        <v>2</v>
      </c>
    </row>
    <row r="42" spans="14:15">
      <c r="N42" s="63" t="s">
        <v>529</v>
      </c>
      <c r="O42" s="7"/>
    </row>
    <row r="43" spans="14:15">
      <c r="N43" s="63" t="s">
        <v>530</v>
      </c>
      <c r="O43" s="7"/>
    </row>
    <row r="44" spans="14:15">
      <c r="N44" s="63" t="s">
        <v>531</v>
      </c>
      <c r="O44" s="7"/>
    </row>
    <row r="45" spans="14:15" ht="15.75" thickBot="1">
      <c r="N45" s="62" t="s">
        <v>532</v>
      </c>
      <c r="O45" s="7"/>
    </row>
    <row r="46" spans="14:15" ht="15.75" thickBot="1">
      <c r="N46" s="3" t="s">
        <v>519</v>
      </c>
      <c r="O46" s="7"/>
    </row>
    <row r="47" spans="14:15">
      <c r="N47" s="21" t="s">
        <v>520</v>
      </c>
      <c r="O47" s="7">
        <v>1</v>
      </c>
    </row>
    <row r="48" spans="14:15">
      <c r="N48" s="62" t="s">
        <v>521</v>
      </c>
      <c r="O48" s="7"/>
    </row>
    <row r="49" spans="14:15">
      <c r="N49" s="62" t="s">
        <v>522</v>
      </c>
      <c r="O49" s="7"/>
    </row>
    <row r="50" spans="14:15">
      <c r="N50" s="62" t="s">
        <v>523</v>
      </c>
      <c r="O50" s="7"/>
    </row>
    <row r="51" spans="14:15">
      <c r="N51" s="62" t="s">
        <v>525</v>
      </c>
      <c r="O51" s="7"/>
    </row>
    <row r="52" spans="14:15" ht="15.75" thickBot="1">
      <c r="N52" s="62" t="s">
        <v>524</v>
      </c>
      <c r="O52" s="7"/>
    </row>
    <row r="53" spans="14:15" ht="15.75" thickBot="1">
      <c r="N53" s="3" t="s">
        <v>533</v>
      </c>
      <c r="O53" s="7"/>
    </row>
    <row r="54" spans="14:15">
      <c r="N54" s="21" t="s">
        <v>534</v>
      </c>
      <c r="O54" s="7"/>
    </row>
    <row r="55" spans="14:15">
      <c r="N55" s="62" t="s">
        <v>192</v>
      </c>
      <c r="O55" s="7"/>
    </row>
    <row r="56" spans="14:15">
      <c r="N56" s="62" t="s">
        <v>535</v>
      </c>
      <c r="O56" s="7"/>
    </row>
    <row r="57" spans="14:15">
      <c r="N57" s="62" t="s">
        <v>536</v>
      </c>
      <c r="O57" s="7"/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1"/>
  <dimension ref="A1:Q169"/>
  <sheetViews>
    <sheetView topLeftCell="A69" workbookViewId="0">
      <selection activeCell="B105" sqref="B105"/>
    </sheetView>
  </sheetViews>
  <sheetFormatPr defaultRowHeight="15"/>
  <cols>
    <col min="1" max="1" width="27.42578125" bestFit="1" customWidth="1"/>
    <col min="2" max="2" width="20" customWidth="1"/>
    <col min="3" max="3" width="10.7109375" bestFit="1" customWidth="1"/>
    <col min="4" max="4" width="10.5703125" bestFit="1" customWidth="1"/>
    <col min="5" max="5" width="5" bestFit="1" customWidth="1"/>
    <col min="7" max="7" width="7.7109375" bestFit="1" customWidth="1"/>
    <col min="10" max="10" width="12.85546875" bestFit="1" customWidth="1"/>
  </cols>
  <sheetData>
    <row r="1" spans="1:17" ht="15.75" thickBot="1">
      <c r="A1" s="37"/>
      <c r="B1" s="31"/>
      <c r="C1" s="19" t="s">
        <v>474</v>
      </c>
      <c r="D1" s="46" t="s">
        <v>539</v>
      </c>
      <c r="E1" s="19" t="s">
        <v>612</v>
      </c>
      <c r="F1" s="49" t="s">
        <v>613</v>
      </c>
      <c r="G1" s="9" t="s">
        <v>641</v>
      </c>
      <c r="H1" s="51" t="s">
        <v>614</v>
      </c>
      <c r="J1" s="51" t="s">
        <v>626</v>
      </c>
    </row>
    <row r="2" spans="1:17">
      <c r="A2" s="28" t="s">
        <v>540</v>
      </c>
      <c r="B2" s="27" t="s">
        <v>558</v>
      </c>
      <c r="C2" s="29">
        <v>1</v>
      </c>
      <c r="D2" s="48">
        <v>150</v>
      </c>
      <c r="E2" s="50">
        <v>0.1</v>
      </c>
      <c r="F2" s="50">
        <v>1</v>
      </c>
      <c r="G2" s="50">
        <f t="shared" ref="G2:G6" si="0">100-((E2/F2)*100)</f>
        <v>90</v>
      </c>
      <c r="H2" s="7">
        <f t="shared" ref="H2:H6" si="1">+C2*E2</f>
        <v>0.1</v>
      </c>
      <c r="I2" s="7">
        <f t="shared" ref="I2:I6" si="2">+F2*C2</f>
        <v>1</v>
      </c>
      <c r="J2" s="7" t="s">
        <v>627</v>
      </c>
    </row>
    <row r="3" spans="1:17">
      <c r="A3" s="28" t="s">
        <v>540</v>
      </c>
      <c r="B3" s="2" t="s">
        <v>591</v>
      </c>
      <c r="C3" s="7">
        <v>20</v>
      </c>
      <c r="D3" s="48">
        <v>150</v>
      </c>
      <c r="E3" s="50">
        <v>0.1</v>
      </c>
      <c r="F3" s="50">
        <v>1</v>
      </c>
      <c r="G3" s="50">
        <f t="shared" si="0"/>
        <v>90</v>
      </c>
      <c r="H3" s="7">
        <f t="shared" si="1"/>
        <v>2</v>
      </c>
      <c r="I3" s="7">
        <f t="shared" si="2"/>
        <v>20</v>
      </c>
      <c r="J3" s="7" t="s">
        <v>627</v>
      </c>
    </row>
    <row r="4" spans="1:17">
      <c r="A4" s="28" t="s">
        <v>540</v>
      </c>
      <c r="B4" s="2" t="s">
        <v>599</v>
      </c>
      <c r="C4" s="7">
        <v>20</v>
      </c>
      <c r="D4" s="48">
        <v>150</v>
      </c>
      <c r="E4" s="50">
        <v>0.1</v>
      </c>
      <c r="F4" s="50">
        <v>1</v>
      </c>
      <c r="G4" s="50">
        <f t="shared" si="0"/>
        <v>90</v>
      </c>
      <c r="H4" s="7">
        <f t="shared" si="1"/>
        <v>2</v>
      </c>
      <c r="I4" s="7">
        <f t="shared" si="2"/>
        <v>20</v>
      </c>
      <c r="J4" s="7" t="s">
        <v>627</v>
      </c>
    </row>
    <row r="5" spans="1:17">
      <c r="A5" s="28" t="s">
        <v>29</v>
      </c>
      <c r="B5" s="1" t="s">
        <v>571</v>
      </c>
      <c r="C5" s="16">
        <v>30</v>
      </c>
      <c r="D5" s="7">
        <v>50</v>
      </c>
      <c r="E5" s="50">
        <v>3</v>
      </c>
      <c r="F5" s="50">
        <v>5</v>
      </c>
      <c r="G5" s="50">
        <f t="shared" si="0"/>
        <v>40</v>
      </c>
      <c r="H5" s="7">
        <f t="shared" si="1"/>
        <v>90</v>
      </c>
      <c r="I5" s="7">
        <f t="shared" si="2"/>
        <v>150</v>
      </c>
      <c r="J5" s="7" t="s">
        <v>627</v>
      </c>
    </row>
    <row r="6" spans="1:17" ht="15.75" thickBot="1">
      <c r="A6" s="28" t="s">
        <v>30</v>
      </c>
      <c r="B6" s="1" t="s">
        <v>568</v>
      </c>
      <c r="C6" s="7">
        <v>0</v>
      </c>
      <c r="D6" s="7">
        <v>20</v>
      </c>
      <c r="E6" s="50">
        <v>5</v>
      </c>
      <c r="F6" s="50">
        <v>15</v>
      </c>
      <c r="G6" s="50">
        <f t="shared" si="0"/>
        <v>66.666666666666671</v>
      </c>
      <c r="H6" s="7">
        <f t="shared" si="1"/>
        <v>0</v>
      </c>
      <c r="I6" s="7">
        <f t="shared" si="2"/>
        <v>0</v>
      </c>
      <c r="J6" s="7" t="s">
        <v>627</v>
      </c>
    </row>
    <row r="7" spans="1:17" ht="15.75" thickBot="1">
      <c r="A7" s="37"/>
      <c r="C7" s="19" t="s">
        <v>474</v>
      </c>
      <c r="D7" s="46" t="s">
        <v>539</v>
      </c>
      <c r="E7" s="10" t="s">
        <v>612</v>
      </c>
      <c r="F7" s="12" t="s">
        <v>613</v>
      </c>
      <c r="G7" s="9" t="s">
        <v>641</v>
      </c>
      <c r="H7" s="51" t="s">
        <v>614</v>
      </c>
      <c r="J7" s="51" t="s">
        <v>626</v>
      </c>
    </row>
    <row r="8" spans="1:17">
      <c r="A8" s="28" t="s">
        <v>473</v>
      </c>
      <c r="B8" s="1" t="s">
        <v>101</v>
      </c>
      <c r="C8" s="7">
        <v>0</v>
      </c>
      <c r="D8" s="7">
        <v>10</v>
      </c>
      <c r="E8" s="7">
        <v>4</v>
      </c>
      <c r="F8" s="7">
        <v>10</v>
      </c>
      <c r="G8" s="50">
        <f t="shared" ref="G8:G11" si="3">100-((E8/F8)*100)</f>
        <v>60</v>
      </c>
      <c r="H8" s="7">
        <f t="shared" ref="H8:H11" si="4">+E8*C8</f>
        <v>0</v>
      </c>
      <c r="I8" s="7">
        <f t="shared" ref="I8:I11" si="5">+F8*C8</f>
        <v>0</v>
      </c>
      <c r="J8" s="60" t="s">
        <v>628</v>
      </c>
      <c r="K8" s="4"/>
      <c r="L8" s="4"/>
      <c r="M8" s="4"/>
      <c r="N8" s="4"/>
      <c r="O8" s="4"/>
      <c r="P8" s="4"/>
      <c r="Q8" s="4"/>
    </row>
    <row r="9" spans="1:17">
      <c r="A9" s="28" t="s">
        <v>473</v>
      </c>
      <c r="B9" s="2" t="s">
        <v>112</v>
      </c>
      <c r="C9" s="7">
        <v>1</v>
      </c>
      <c r="D9" s="7">
        <v>10</v>
      </c>
      <c r="E9" s="7">
        <v>8</v>
      </c>
      <c r="F9" s="7">
        <v>20</v>
      </c>
      <c r="G9" s="50">
        <f t="shared" si="3"/>
        <v>60</v>
      </c>
      <c r="H9" s="7">
        <f t="shared" si="4"/>
        <v>8</v>
      </c>
      <c r="I9" s="7">
        <f t="shared" si="5"/>
        <v>20</v>
      </c>
      <c r="J9" s="60" t="s">
        <v>628</v>
      </c>
      <c r="K9" s="4"/>
      <c r="L9" s="4"/>
      <c r="M9" s="4"/>
      <c r="N9" s="4"/>
      <c r="O9" s="4"/>
      <c r="P9" s="4"/>
      <c r="Q9" s="4"/>
    </row>
    <row r="10" spans="1:17">
      <c r="A10" s="28" t="s">
        <v>473</v>
      </c>
      <c r="B10" s="1" t="s">
        <v>115</v>
      </c>
      <c r="C10" s="7">
        <v>30</v>
      </c>
      <c r="D10" s="7">
        <v>50</v>
      </c>
      <c r="E10" s="7">
        <v>2</v>
      </c>
      <c r="F10" s="7">
        <v>5</v>
      </c>
      <c r="G10" s="50">
        <f t="shared" si="3"/>
        <v>60</v>
      </c>
      <c r="H10" s="7">
        <f t="shared" si="4"/>
        <v>60</v>
      </c>
      <c r="I10" s="7">
        <f t="shared" si="5"/>
        <v>150</v>
      </c>
      <c r="J10" s="60" t="s">
        <v>628</v>
      </c>
      <c r="K10" s="4"/>
      <c r="L10" s="4"/>
      <c r="M10" s="4"/>
      <c r="N10" s="4"/>
      <c r="O10" s="4"/>
      <c r="P10" s="4"/>
      <c r="Q10" s="4"/>
    </row>
    <row r="11" spans="1:17" ht="15.75" thickBot="1">
      <c r="A11" s="28" t="s">
        <v>473</v>
      </c>
      <c r="B11" s="1" t="s">
        <v>116</v>
      </c>
      <c r="C11" s="7">
        <v>20</v>
      </c>
      <c r="D11" s="7">
        <v>50</v>
      </c>
      <c r="E11" s="7">
        <v>2</v>
      </c>
      <c r="F11" s="7">
        <v>5</v>
      </c>
      <c r="G11" s="50">
        <f t="shared" si="3"/>
        <v>60</v>
      </c>
      <c r="H11" s="7">
        <f t="shared" si="4"/>
        <v>40</v>
      </c>
      <c r="I11" s="7">
        <f t="shared" si="5"/>
        <v>100</v>
      </c>
      <c r="J11" s="60" t="s">
        <v>628</v>
      </c>
      <c r="K11" s="4"/>
      <c r="L11" s="4"/>
      <c r="M11" s="4"/>
      <c r="N11" s="4"/>
      <c r="O11" s="4"/>
      <c r="P11" s="4"/>
      <c r="Q11" s="4"/>
    </row>
    <row r="12" spans="1:17" ht="15.75" thickBot="1">
      <c r="A12" s="37"/>
      <c r="B12" s="38"/>
      <c r="C12" s="3" t="s">
        <v>475</v>
      </c>
      <c r="D12" s="35" t="s">
        <v>542</v>
      </c>
      <c r="E12" s="10" t="s">
        <v>612</v>
      </c>
      <c r="F12" s="12" t="s">
        <v>613</v>
      </c>
      <c r="G12" s="9" t="s">
        <v>641</v>
      </c>
      <c r="H12" s="51" t="s">
        <v>614</v>
      </c>
      <c r="I12" s="51" t="s">
        <v>615</v>
      </c>
      <c r="J12" s="51" t="s">
        <v>626</v>
      </c>
    </row>
    <row r="13" spans="1:17">
      <c r="A13" s="42" t="s">
        <v>121</v>
      </c>
      <c r="B13" s="39" t="s">
        <v>138</v>
      </c>
      <c r="C13" s="7">
        <v>2</v>
      </c>
      <c r="D13" s="7">
        <v>10</v>
      </c>
      <c r="E13" s="7">
        <v>6</v>
      </c>
      <c r="F13" s="7">
        <v>10</v>
      </c>
      <c r="G13" s="50">
        <f t="shared" ref="G13:G16" si="6">100-((E13/F13)*100)</f>
        <v>40</v>
      </c>
      <c r="H13" s="7">
        <f t="shared" ref="H13:H16" si="7">+E13*C13</f>
        <v>12</v>
      </c>
      <c r="I13" s="7">
        <f t="shared" ref="I13:I16" si="8">+F13*C13</f>
        <v>20</v>
      </c>
      <c r="J13" s="16">
        <v>594</v>
      </c>
    </row>
    <row r="14" spans="1:17">
      <c r="A14" s="28" t="s">
        <v>118</v>
      </c>
      <c r="B14" s="40" t="s">
        <v>155</v>
      </c>
      <c r="C14" s="7">
        <v>0</v>
      </c>
      <c r="D14" s="7">
        <v>10</v>
      </c>
      <c r="E14" s="7">
        <v>45</v>
      </c>
      <c r="F14" s="7">
        <v>65</v>
      </c>
      <c r="G14" s="50">
        <f t="shared" si="6"/>
        <v>30.769230769230774</v>
      </c>
      <c r="H14" s="7">
        <f t="shared" si="7"/>
        <v>0</v>
      </c>
      <c r="I14" s="7">
        <f t="shared" si="8"/>
        <v>0</v>
      </c>
      <c r="J14" s="16">
        <v>594</v>
      </c>
    </row>
    <row r="15" spans="1:17">
      <c r="A15" s="28" t="s">
        <v>118</v>
      </c>
      <c r="B15" s="40" t="s">
        <v>158</v>
      </c>
      <c r="C15" s="7">
        <v>25</v>
      </c>
      <c r="D15" s="7">
        <v>50</v>
      </c>
      <c r="E15" s="7">
        <v>20</v>
      </c>
      <c r="F15" s="7">
        <v>30</v>
      </c>
      <c r="G15" s="50">
        <f t="shared" si="6"/>
        <v>33.333333333333343</v>
      </c>
      <c r="H15" s="7">
        <f t="shared" si="7"/>
        <v>500</v>
      </c>
      <c r="I15" s="7">
        <f t="shared" si="8"/>
        <v>750</v>
      </c>
      <c r="J15" s="16">
        <v>594</v>
      </c>
    </row>
    <row r="16" spans="1:17" ht="15.75" thickBot="1">
      <c r="A16" s="28" t="s">
        <v>118</v>
      </c>
      <c r="B16" s="40" t="s">
        <v>159</v>
      </c>
      <c r="C16" s="7">
        <v>25</v>
      </c>
      <c r="D16" s="7">
        <v>50</v>
      </c>
      <c r="E16" s="7">
        <v>20</v>
      </c>
      <c r="F16" s="7">
        <v>30</v>
      </c>
      <c r="G16" s="50">
        <f t="shared" si="6"/>
        <v>33.333333333333343</v>
      </c>
      <c r="H16" s="7">
        <f t="shared" si="7"/>
        <v>500</v>
      </c>
      <c r="I16" s="7">
        <f t="shared" si="8"/>
        <v>750</v>
      </c>
      <c r="J16" s="16">
        <v>594</v>
      </c>
    </row>
    <row r="17" spans="1:10" ht="15.75" thickBot="1">
      <c r="A17" s="37"/>
      <c r="B17" s="28"/>
      <c r="C17" s="24" t="s">
        <v>475</v>
      </c>
      <c r="D17" s="45" t="s">
        <v>542</v>
      </c>
      <c r="E17" s="19" t="s">
        <v>612</v>
      </c>
      <c r="F17" s="49" t="s">
        <v>613</v>
      </c>
      <c r="G17" s="9" t="s">
        <v>641</v>
      </c>
      <c r="H17" s="55" t="s">
        <v>614</v>
      </c>
      <c r="I17" s="56" t="s">
        <v>615</v>
      </c>
      <c r="J17" s="51" t="s">
        <v>626</v>
      </c>
    </row>
    <row r="18" spans="1:10">
      <c r="A18" s="28" t="s">
        <v>201</v>
      </c>
      <c r="B18" s="32">
        <v>7805</v>
      </c>
      <c r="C18" s="7">
        <v>40</v>
      </c>
      <c r="D18" s="7">
        <v>50</v>
      </c>
      <c r="E18" s="7">
        <v>6</v>
      </c>
      <c r="F18" s="7">
        <v>10</v>
      </c>
      <c r="G18" s="50">
        <f t="shared" ref="G18:G22" si="9">100-((E18/F18)*100)</f>
        <v>40</v>
      </c>
      <c r="H18" s="7">
        <f t="shared" ref="H18:H22" si="10">+E18*C18</f>
        <v>240</v>
      </c>
      <c r="I18" s="7">
        <f t="shared" ref="I18:I22" si="11">+F18*C18</f>
        <v>400</v>
      </c>
      <c r="J18" s="16">
        <v>594</v>
      </c>
    </row>
    <row r="19" spans="1:10">
      <c r="A19" s="28" t="s">
        <v>148</v>
      </c>
      <c r="B19" s="32" t="s">
        <v>212</v>
      </c>
      <c r="C19" s="7">
        <v>0</v>
      </c>
      <c r="D19" s="7">
        <v>10</v>
      </c>
      <c r="E19" s="7">
        <v>3</v>
      </c>
      <c r="F19" s="7">
        <v>10</v>
      </c>
      <c r="G19" s="50">
        <f t="shared" si="9"/>
        <v>70</v>
      </c>
      <c r="H19" s="7">
        <f t="shared" si="10"/>
        <v>0</v>
      </c>
      <c r="I19" s="7">
        <f t="shared" si="11"/>
        <v>0</v>
      </c>
      <c r="J19" s="16">
        <v>594</v>
      </c>
    </row>
    <row r="20" spans="1:10">
      <c r="A20" s="28" t="s">
        <v>148</v>
      </c>
      <c r="B20" s="32" t="s">
        <v>233</v>
      </c>
      <c r="C20" s="7">
        <v>55</v>
      </c>
      <c r="D20" s="7">
        <v>100</v>
      </c>
      <c r="E20" s="7">
        <v>2</v>
      </c>
      <c r="F20" s="7">
        <v>5</v>
      </c>
      <c r="G20" s="50">
        <f t="shared" si="9"/>
        <v>60</v>
      </c>
      <c r="H20" s="7">
        <f t="shared" si="10"/>
        <v>110</v>
      </c>
      <c r="I20" s="7">
        <f t="shared" si="11"/>
        <v>275</v>
      </c>
      <c r="J20" s="16">
        <v>594</v>
      </c>
    </row>
    <row r="21" spans="1:10">
      <c r="A21" s="28" t="s">
        <v>229</v>
      </c>
      <c r="B21" s="32" t="s">
        <v>230</v>
      </c>
      <c r="C21" s="7">
        <v>0</v>
      </c>
      <c r="D21" s="7">
        <v>10</v>
      </c>
      <c r="E21" s="7">
        <v>10</v>
      </c>
      <c r="F21" s="7">
        <v>20</v>
      </c>
      <c r="G21" s="50">
        <f t="shared" si="9"/>
        <v>50</v>
      </c>
      <c r="H21" s="7">
        <f t="shared" si="10"/>
        <v>0</v>
      </c>
      <c r="I21" s="7">
        <f t="shared" si="11"/>
        <v>0</v>
      </c>
      <c r="J21" s="16">
        <v>594</v>
      </c>
    </row>
    <row r="22" spans="1:10" ht="15.75" thickBot="1">
      <c r="A22" s="42" t="s">
        <v>309</v>
      </c>
      <c r="B22" s="32" t="s">
        <v>333</v>
      </c>
      <c r="C22" s="7">
        <v>10</v>
      </c>
      <c r="D22" s="7">
        <v>50</v>
      </c>
      <c r="E22" s="7">
        <v>0.5</v>
      </c>
      <c r="F22" s="7">
        <v>1</v>
      </c>
      <c r="G22" s="50">
        <f t="shared" si="9"/>
        <v>50</v>
      </c>
      <c r="H22" s="7">
        <f t="shared" si="10"/>
        <v>5</v>
      </c>
      <c r="I22" s="7">
        <f t="shared" si="11"/>
        <v>10</v>
      </c>
      <c r="J22" s="16">
        <v>594</v>
      </c>
    </row>
    <row r="23" spans="1:10">
      <c r="A23" s="37"/>
      <c r="B23" s="36"/>
      <c r="C23" s="26" t="s">
        <v>474</v>
      </c>
      <c r="D23" s="45" t="s">
        <v>542</v>
      </c>
      <c r="E23" s="10" t="s">
        <v>612</v>
      </c>
      <c r="F23" s="12" t="s">
        <v>613</v>
      </c>
      <c r="G23" s="9" t="s">
        <v>641</v>
      </c>
      <c r="H23" s="57" t="s">
        <v>614</v>
      </c>
      <c r="I23" s="58" t="s">
        <v>615</v>
      </c>
      <c r="J23" s="51" t="s">
        <v>626</v>
      </c>
    </row>
    <row r="24" spans="1:10">
      <c r="A24" s="28" t="s">
        <v>234</v>
      </c>
      <c r="B24" s="32" t="s">
        <v>239</v>
      </c>
      <c r="C24" s="7">
        <v>2</v>
      </c>
      <c r="D24" s="7">
        <v>5</v>
      </c>
      <c r="E24" s="7">
        <v>90</v>
      </c>
      <c r="F24" s="7">
        <v>120</v>
      </c>
      <c r="G24" s="50">
        <f>100-((E24/F24)*100)</f>
        <v>25</v>
      </c>
      <c r="H24" s="7">
        <f>+E24*C24</f>
        <v>180</v>
      </c>
      <c r="I24" s="7">
        <f>+F24*C24</f>
        <v>240</v>
      </c>
      <c r="J24" s="7" t="s">
        <v>630</v>
      </c>
    </row>
    <row r="25" spans="1:10">
      <c r="A25" s="28" t="s">
        <v>234</v>
      </c>
      <c r="B25" s="32" t="s">
        <v>240</v>
      </c>
      <c r="C25" s="7">
        <v>1</v>
      </c>
      <c r="D25" s="7">
        <v>5</v>
      </c>
      <c r="E25" s="7">
        <v>725</v>
      </c>
      <c r="F25" s="13">
        <v>1050</v>
      </c>
      <c r="G25" s="50">
        <f t="shared" ref="G25:G64" si="12">100-((E25/F25)*100)</f>
        <v>30.952380952380949</v>
      </c>
      <c r="H25" s="7">
        <f t="shared" ref="H25:H64" si="13">+E25*C25</f>
        <v>725</v>
      </c>
      <c r="I25" s="7">
        <f t="shared" ref="I25:I64" si="14">+F25*C25</f>
        <v>1050</v>
      </c>
      <c r="J25" s="7">
        <v>644</v>
      </c>
    </row>
    <row r="26" spans="1:10">
      <c r="A26" s="28" t="s">
        <v>234</v>
      </c>
      <c r="B26" s="32" t="s">
        <v>242</v>
      </c>
      <c r="C26" s="7">
        <v>4</v>
      </c>
      <c r="D26" s="7">
        <v>5</v>
      </c>
      <c r="E26" s="7">
        <v>90</v>
      </c>
      <c r="F26" s="7">
        <v>120</v>
      </c>
      <c r="G26" s="50">
        <f t="shared" si="12"/>
        <v>25</v>
      </c>
      <c r="H26" s="7">
        <f t="shared" si="13"/>
        <v>360</v>
      </c>
      <c r="I26" s="7">
        <f t="shared" si="14"/>
        <v>480</v>
      </c>
      <c r="J26" s="7" t="s">
        <v>630</v>
      </c>
    </row>
    <row r="27" spans="1:10">
      <c r="A27" s="28" t="s">
        <v>234</v>
      </c>
      <c r="B27" s="32" t="s">
        <v>250</v>
      </c>
      <c r="C27" s="7">
        <v>3</v>
      </c>
      <c r="D27" s="7">
        <v>5</v>
      </c>
      <c r="E27" s="7">
        <v>90</v>
      </c>
      <c r="F27" s="7">
        <v>120</v>
      </c>
      <c r="G27" s="50">
        <f t="shared" si="12"/>
        <v>25</v>
      </c>
      <c r="H27" s="7">
        <f t="shared" si="13"/>
        <v>270</v>
      </c>
      <c r="I27" s="7">
        <f t="shared" si="14"/>
        <v>360</v>
      </c>
      <c r="J27" s="7" t="s">
        <v>630</v>
      </c>
    </row>
    <row r="28" spans="1:10">
      <c r="A28" s="28" t="s">
        <v>234</v>
      </c>
      <c r="B28" s="33" t="s">
        <v>312</v>
      </c>
      <c r="C28" s="7">
        <v>1</v>
      </c>
      <c r="D28" s="7">
        <v>5</v>
      </c>
      <c r="E28" s="7">
        <v>650</v>
      </c>
      <c r="F28" s="15">
        <v>850</v>
      </c>
      <c r="G28" s="50">
        <f t="shared" si="12"/>
        <v>23.529411764705884</v>
      </c>
      <c r="H28" s="7">
        <f t="shared" si="13"/>
        <v>650</v>
      </c>
      <c r="I28" s="7">
        <f t="shared" si="14"/>
        <v>850</v>
      </c>
      <c r="J28" s="7" t="s">
        <v>630</v>
      </c>
    </row>
    <row r="29" spans="1:10">
      <c r="A29" s="28" t="s">
        <v>234</v>
      </c>
      <c r="B29" s="33" t="s">
        <v>720</v>
      </c>
      <c r="C29" s="7">
        <v>1</v>
      </c>
      <c r="D29" s="7">
        <v>5</v>
      </c>
      <c r="E29" s="7">
        <v>300</v>
      </c>
      <c r="F29" s="15">
        <v>450</v>
      </c>
      <c r="G29" s="50">
        <f t="shared" si="12"/>
        <v>33.333333333333343</v>
      </c>
      <c r="H29" s="7">
        <f t="shared" si="13"/>
        <v>300</v>
      </c>
      <c r="I29" s="7">
        <f t="shared" si="14"/>
        <v>450</v>
      </c>
      <c r="J29" s="7">
        <v>644</v>
      </c>
    </row>
    <row r="30" spans="1:10">
      <c r="A30" s="28" t="s">
        <v>234</v>
      </c>
      <c r="B30" s="32" t="s">
        <v>254</v>
      </c>
      <c r="C30" s="7">
        <v>1</v>
      </c>
      <c r="D30" s="7">
        <v>5</v>
      </c>
      <c r="E30" s="7">
        <v>300</v>
      </c>
      <c r="F30" s="13">
        <v>400</v>
      </c>
      <c r="G30" s="50">
        <f t="shared" si="12"/>
        <v>25</v>
      </c>
      <c r="H30" s="7">
        <f t="shared" si="13"/>
        <v>300</v>
      </c>
      <c r="I30" s="7">
        <f t="shared" si="14"/>
        <v>400</v>
      </c>
      <c r="J30" s="7" t="s">
        <v>630</v>
      </c>
    </row>
    <row r="31" spans="1:10">
      <c r="A31" s="28" t="s">
        <v>234</v>
      </c>
      <c r="B31" s="32" t="s">
        <v>263</v>
      </c>
      <c r="C31" s="7">
        <v>1</v>
      </c>
      <c r="D31" s="7">
        <v>5</v>
      </c>
      <c r="E31" s="7">
        <v>300</v>
      </c>
      <c r="F31" s="13">
        <v>400</v>
      </c>
      <c r="G31" s="50">
        <f t="shared" si="12"/>
        <v>25</v>
      </c>
      <c r="H31" s="7">
        <f t="shared" si="13"/>
        <v>300</v>
      </c>
      <c r="I31" s="7">
        <f t="shared" si="14"/>
        <v>400</v>
      </c>
      <c r="J31" s="7" t="s">
        <v>630</v>
      </c>
    </row>
    <row r="32" spans="1:10">
      <c r="A32" s="28" t="s">
        <v>234</v>
      </c>
      <c r="B32" s="32" t="s">
        <v>266</v>
      </c>
      <c r="C32" s="7">
        <v>3</v>
      </c>
      <c r="D32" s="7">
        <v>5</v>
      </c>
      <c r="E32" s="7">
        <v>160</v>
      </c>
      <c r="F32" s="13">
        <v>230</v>
      </c>
      <c r="G32" s="50">
        <f t="shared" si="12"/>
        <v>30.434782608695656</v>
      </c>
      <c r="H32" s="7">
        <f t="shared" si="13"/>
        <v>480</v>
      </c>
      <c r="I32" s="7">
        <f t="shared" si="14"/>
        <v>690</v>
      </c>
      <c r="J32" s="7" t="s">
        <v>630</v>
      </c>
    </row>
    <row r="33" spans="1:10">
      <c r="A33" s="28" t="s">
        <v>234</v>
      </c>
      <c r="B33" s="32" t="s">
        <v>267</v>
      </c>
      <c r="C33" s="7">
        <v>1</v>
      </c>
      <c r="D33" s="7">
        <v>5</v>
      </c>
      <c r="E33" s="7">
        <v>220</v>
      </c>
      <c r="F33" s="13">
        <v>320</v>
      </c>
      <c r="G33" s="50">
        <f t="shared" si="12"/>
        <v>31.25</v>
      </c>
      <c r="H33" s="7">
        <f t="shared" si="13"/>
        <v>220</v>
      </c>
      <c r="I33" s="7">
        <f t="shared" si="14"/>
        <v>320</v>
      </c>
      <c r="J33" s="7" t="s">
        <v>630</v>
      </c>
    </row>
    <row r="34" spans="1:10">
      <c r="A34" s="28" t="s">
        <v>234</v>
      </c>
      <c r="B34" s="32" t="s">
        <v>276</v>
      </c>
      <c r="C34" s="7">
        <v>1</v>
      </c>
      <c r="D34" s="7">
        <v>5</v>
      </c>
      <c r="E34" s="7">
        <v>250</v>
      </c>
      <c r="F34" s="13">
        <v>350</v>
      </c>
      <c r="G34" s="50">
        <f t="shared" si="12"/>
        <v>28.571428571428569</v>
      </c>
      <c r="H34" s="7">
        <f t="shared" si="13"/>
        <v>250</v>
      </c>
      <c r="I34" s="7">
        <f t="shared" si="14"/>
        <v>350</v>
      </c>
      <c r="J34" s="7" t="s">
        <v>630</v>
      </c>
    </row>
    <row r="35" spans="1:10">
      <c r="A35" s="28" t="s">
        <v>234</v>
      </c>
      <c r="B35" s="32" t="s">
        <v>279</v>
      </c>
      <c r="C35" s="7">
        <v>1</v>
      </c>
      <c r="D35" s="7">
        <v>5</v>
      </c>
      <c r="E35" s="7">
        <v>200</v>
      </c>
      <c r="F35" s="13">
        <v>300</v>
      </c>
      <c r="G35" s="50">
        <f t="shared" si="12"/>
        <v>33.333333333333343</v>
      </c>
      <c r="H35" s="7">
        <f t="shared" si="13"/>
        <v>200</v>
      </c>
      <c r="I35" s="7">
        <f t="shared" si="14"/>
        <v>300</v>
      </c>
      <c r="J35" s="7" t="s">
        <v>630</v>
      </c>
    </row>
    <row r="36" spans="1:10">
      <c r="A36" s="28" t="s">
        <v>234</v>
      </c>
      <c r="B36" s="32" t="s">
        <v>281</v>
      </c>
      <c r="C36" s="7">
        <v>2</v>
      </c>
      <c r="D36" s="7">
        <v>5</v>
      </c>
      <c r="E36" s="7">
        <v>950</v>
      </c>
      <c r="F36" s="13">
        <v>1250</v>
      </c>
      <c r="G36" s="50">
        <f t="shared" si="12"/>
        <v>24</v>
      </c>
      <c r="H36" s="7">
        <f t="shared" si="13"/>
        <v>1900</v>
      </c>
      <c r="I36" s="7">
        <f t="shared" si="14"/>
        <v>2500</v>
      </c>
      <c r="J36" s="7" t="s">
        <v>630</v>
      </c>
    </row>
    <row r="37" spans="1:10">
      <c r="A37" s="28" t="s">
        <v>234</v>
      </c>
      <c r="B37" s="32" t="s">
        <v>637</v>
      </c>
      <c r="C37" s="7">
        <v>4</v>
      </c>
      <c r="D37" s="7">
        <v>5</v>
      </c>
      <c r="E37" s="7">
        <v>220</v>
      </c>
      <c r="F37" s="7">
        <v>300</v>
      </c>
      <c r="G37" s="50">
        <f t="shared" si="12"/>
        <v>26.666666666666671</v>
      </c>
      <c r="H37" s="7">
        <f t="shared" si="13"/>
        <v>880</v>
      </c>
      <c r="I37" s="7">
        <f t="shared" si="14"/>
        <v>1200</v>
      </c>
      <c r="J37" s="7">
        <v>594</v>
      </c>
    </row>
    <row r="38" spans="1:10">
      <c r="A38" s="28" t="s">
        <v>234</v>
      </c>
      <c r="B38" s="32" t="s">
        <v>638</v>
      </c>
      <c r="C38" s="7">
        <v>0</v>
      </c>
      <c r="D38" s="7">
        <v>5</v>
      </c>
      <c r="E38" s="7">
        <v>220</v>
      </c>
      <c r="F38" s="7">
        <v>280</v>
      </c>
      <c r="G38" s="50">
        <f t="shared" si="12"/>
        <v>21.428571428571431</v>
      </c>
      <c r="H38" s="7">
        <f t="shared" si="13"/>
        <v>0</v>
      </c>
      <c r="I38" s="7">
        <f t="shared" si="14"/>
        <v>0</v>
      </c>
      <c r="J38" s="7" t="s">
        <v>630</v>
      </c>
    </row>
    <row r="39" spans="1:10">
      <c r="A39" s="28" t="s">
        <v>234</v>
      </c>
      <c r="B39" s="32" t="s">
        <v>255</v>
      </c>
      <c r="C39" s="7">
        <v>30</v>
      </c>
      <c r="D39" s="7">
        <v>50</v>
      </c>
      <c r="E39" s="7">
        <v>30</v>
      </c>
      <c r="F39" s="7">
        <v>40</v>
      </c>
      <c r="G39" s="50">
        <f t="shared" si="12"/>
        <v>25</v>
      </c>
      <c r="H39" s="7">
        <f t="shared" si="13"/>
        <v>900</v>
      </c>
      <c r="I39" s="7">
        <f t="shared" si="14"/>
        <v>1200</v>
      </c>
      <c r="J39" s="7" t="s">
        <v>630</v>
      </c>
    </row>
    <row r="40" spans="1:10">
      <c r="A40" s="28" t="s">
        <v>234</v>
      </c>
      <c r="B40" s="32" t="s">
        <v>284</v>
      </c>
      <c r="C40" s="7">
        <v>1</v>
      </c>
      <c r="D40" s="7">
        <v>5</v>
      </c>
      <c r="E40" s="7">
        <v>90</v>
      </c>
      <c r="F40" s="7">
        <v>120</v>
      </c>
      <c r="G40" s="50">
        <f t="shared" si="12"/>
        <v>25</v>
      </c>
      <c r="H40" s="7">
        <f t="shared" si="13"/>
        <v>90</v>
      </c>
      <c r="I40" s="7">
        <f t="shared" si="14"/>
        <v>120</v>
      </c>
      <c r="J40" s="7" t="s">
        <v>630</v>
      </c>
    </row>
    <row r="41" spans="1:10">
      <c r="A41" s="28" t="s">
        <v>234</v>
      </c>
      <c r="B41" s="33" t="s">
        <v>310</v>
      </c>
      <c r="C41" s="7">
        <v>6</v>
      </c>
      <c r="D41" s="7">
        <v>10</v>
      </c>
      <c r="E41" s="7">
        <v>100</v>
      </c>
      <c r="F41" s="7">
        <v>130</v>
      </c>
      <c r="G41" s="50">
        <f t="shared" si="12"/>
        <v>23.076923076923066</v>
      </c>
      <c r="H41" s="7">
        <f t="shared" si="13"/>
        <v>600</v>
      </c>
      <c r="I41" s="7">
        <f t="shared" si="14"/>
        <v>780</v>
      </c>
      <c r="J41" s="7" t="s">
        <v>630</v>
      </c>
    </row>
    <row r="42" spans="1:10">
      <c r="A42" s="28" t="s">
        <v>234</v>
      </c>
      <c r="B42" s="33" t="s">
        <v>314</v>
      </c>
      <c r="C42" s="7">
        <v>2</v>
      </c>
      <c r="D42" s="7">
        <v>5</v>
      </c>
      <c r="E42" s="7">
        <v>725</v>
      </c>
      <c r="F42" s="7">
        <v>1050</v>
      </c>
      <c r="G42" s="50">
        <f t="shared" si="12"/>
        <v>30.952380952380949</v>
      </c>
      <c r="H42" s="7">
        <f t="shared" si="13"/>
        <v>1450</v>
      </c>
      <c r="I42" s="7">
        <f t="shared" si="14"/>
        <v>2100</v>
      </c>
      <c r="J42" s="7">
        <v>644</v>
      </c>
    </row>
    <row r="43" spans="1:10">
      <c r="A43" s="28" t="s">
        <v>234</v>
      </c>
      <c r="B43" s="33" t="s">
        <v>319</v>
      </c>
      <c r="C43" s="7">
        <v>4</v>
      </c>
      <c r="D43" s="7">
        <v>5</v>
      </c>
      <c r="E43" s="7">
        <v>150</v>
      </c>
      <c r="F43" s="7">
        <v>220</v>
      </c>
      <c r="G43" s="50">
        <f t="shared" si="12"/>
        <v>31.818181818181827</v>
      </c>
      <c r="H43" s="7">
        <f t="shared" si="13"/>
        <v>600</v>
      </c>
      <c r="I43" s="7">
        <f t="shared" si="14"/>
        <v>880</v>
      </c>
      <c r="J43" s="7">
        <v>644</v>
      </c>
    </row>
    <row r="44" spans="1:10">
      <c r="A44" s="28" t="s">
        <v>234</v>
      </c>
      <c r="B44" s="32" t="s">
        <v>323</v>
      </c>
      <c r="C44" s="7">
        <v>0</v>
      </c>
      <c r="D44" s="7">
        <v>2</v>
      </c>
      <c r="E44" s="7">
        <v>2900</v>
      </c>
      <c r="F44" s="13">
        <v>3600</v>
      </c>
      <c r="G44" s="50">
        <f t="shared" si="12"/>
        <v>19.444444444444443</v>
      </c>
      <c r="H44" s="7">
        <f t="shared" si="13"/>
        <v>0</v>
      </c>
      <c r="I44" s="7">
        <f t="shared" si="14"/>
        <v>0</v>
      </c>
      <c r="J44" s="7" t="s">
        <v>630</v>
      </c>
    </row>
    <row r="45" spans="1:10">
      <c r="A45" s="28" t="s">
        <v>234</v>
      </c>
      <c r="B45" s="32" t="s">
        <v>324</v>
      </c>
      <c r="C45" s="7">
        <v>0</v>
      </c>
      <c r="D45" s="7">
        <v>2</v>
      </c>
      <c r="E45" s="7">
        <v>900</v>
      </c>
      <c r="F45" s="7">
        <v>1200</v>
      </c>
      <c r="G45" s="50">
        <f t="shared" si="12"/>
        <v>25</v>
      </c>
      <c r="H45" s="7">
        <f t="shared" si="13"/>
        <v>0</v>
      </c>
      <c r="I45" s="7">
        <f t="shared" si="14"/>
        <v>0</v>
      </c>
      <c r="J45" s="7" t="s">
        <v>630</v>
      </c>
    </row>
    <row r="46" spans="1:10">
      <c r="A46" s="28" t="s">
        <v>234</v>
      </c>
      <c r="B46" s="33" t="s">
        <v>476</v>
      </c>
      <c r="C46" s="7">
        <v>2</v>
      </c>
      <c r="D46" s="7">
        <v>5</v>
      </c>
      <c r="E46" s="7">
        <v>250</v>
      </c>
      <c r="F46" s="7">
        <v>350</v>
      </c>
      <c r="G46" s="50">
        <f t="shared" si="12"/>
        <v>28.571428571428569</v>
      </c>
      <c r="H46" s="7">
        <f t="shared" si="13"/>
        <v>500</v>
      </c>
      <c r="I46" s="7">
        <f t="shared" si="14"/>
        <v>700</v>
      </c>
      <c r="J46" s="7" t="s">
        <v>630</v>
      </c>
    </row>
    <row r="47" spans="1:10">
      <c r="A47" s="28" t="s">
        <v>235</v>
      </c>
      <c r="B47" s="32" t="s">
        <v>236</v>
      </c>
      <c r="C47" s="7">
        <v>1</v>
      </c>
      <c r="D47" s="7">
        <v>5</v>
      </c>
      <c r="E47" s="7">
        <v>90</v>
      </c>
      <c r="F47" s="7">
        <v>220</v>
      </c>
      <c r="G47" s="50">
        <f t="shared" si="12"/>
        <v>59.090909090909086</v>
      </c>
      <c r="H47" s="7">
        <f t="shared" si="13"/>
        <v>90</v>
      </c>
      <c r="I47" s="7">
        <f t="shared" si="14"/>
        <v>220</v>
      </c>
      <c r="J47" s="7" t="s">
        <v>630</v>
      </c>
    </row>
    <row r="48" spans="1:10">
      <c r="A48" s="28" t="s">
        <v>235</v>
      </c>
      <c r="B48" s="32" t="s">
        <v>245</v>
      </c>
      <c r="C48" s="7">
        <v>0</v>
      </c>
      <c r="D48" s="7">
        <v>5</v>
      </c>
      <c r="E48" s="7">
        <v>180</v>
      </c>
      <c r="F48" s="7">
        <v>250</v>
      </c>
      <c r="G48" s="50">
        <f t="shared" si="12"/>
        <v>28</v>
      </c>
      <c r="H48" s="7">
        <f t="shared" si="13"/>
        <v>0</v>
      </c>
      <c r="I48" s="7">
        <f t="shared" si="14"/>
        <v>0</v>
      </c>
      <c r="J48" s="7" t="s">
        <v>630</v>
      </c>
    </row>
    <row r="49" spans="1:10">
      <c r="A49" s="28" t="s">
        <v>235</v>
      </c>
      <c r="B49" s="32" t="s">
        <v>246</v>
      </c>
      <c r="C49" s="7">
        <v>1</v>
      </c>
      <c r="D49" s="7">
        <v>5</v>
      </c>
      <c r="E49" s="7">
        <v>180</v>
      </c>
      <c r="F49" s="7">
        <v>250</v>
      </c>
      <c r="G49" s="50">
        <f t="shared" si="12"/>
        <v>28</v>
      </c>
      <c r="H49" s="7">
        <f t="shared" si="13"/>
        <v>180</v>
      </c>
      <c r="I49" s="7">
        <f t="shared" si="14"/>
        <v>250</v>
      </c>
      <c r="J49" s="7" t="s">
        <v>630</v>
      </c>
    </row>
    <row r="50" spans="1:10">
      <c r="A50" s="28" t="s">
        <v>235</v>
      </c>
      <c r="B50" s="32" t="s">
        <v>249</v>
      </c>
      <c r="C50" s="7">
        <v>0</v>
      </c>
      <c r="D50" s="7">
        <v>5</v>
      </c>
      <c r="E50" s="7">
        <v>180</v>
      </c>
      <c r="F50" s="7">
        <v>250</v>
      </c>
      <c r="G50" s="50">
        <f t="shared" si="12"/>
        <v>28</v>
      </c>
      <c r="H50" s="7">
        <f t="shared" si="13"/>
        <v>0</v>
      </c>
      <c r="I50" s="7">
        <f t="shared" si="14"/>
        <v>0</v>
      </c>
      <c r="J50" s="7" t="s">
        <v>630</v>
      </c>
    </row>
    <row r="51" spans="1:10">
      <c r="A51" s="28" t="s">
        <v>235</v>
      </c>
      <c r="B51" s="32" t="s">
        <v>251</v>
      </c>
      <c r="C51" s="7">
        <v>0</v>
      </c>
      <c r="D51" s="7">
        <v>5</v>
      </c>
      <c r="E51" s="7">
        <v>180</v>
      </c>
      <c r="F51" s="7">
        <v>250</v>
      </c>
      <c r="G51" s="50">
        <f t="shared" si="12"/>
        <v>28</v>
      </c>
      <c r="H51" s="7">
        <f t="shared" si="13"/>
        <v>0</v>
      </c>
      <c r="I51" s="7">
        <f t="shared" si="14"/>
        <v>0</v>
      </c>
      <c r="J51" s="7" t="s">
        <v>630</v>
      </c>
    </row>
    <row r="52" spans="1:10">
      <c r="A52" s="28" t="s">
        <v>235</v>
      </c>
      <c r="B52" s="32" t="s">
        <v>269</v>
      </c>
      <c r="C52" s="7">
        <v>0</v>
      </c>
      <c r="D52" s="7">
        <v>5</v>
      </c>
      <c r="E52" s="7">
        <v>200</v>
      </c>
      <c r="F52" s="7">
        <v>300</v>
      </c>
      <c r="G52" s="50">
        <f t="shared" si="12"/>
        <v>33.333333333333343</v>
      </c>
      <c r="H52" s="7">
        <f t="shared" si="13"/>
        <v>0</v>
      </c>
      <c r="I52" s="7">
        <f t="shared" si="14"/>
        <v>0</v>
      </c>
      <c r="J52" s="7" t="s">
        <v>630</v>
      </c>
    </row>
    <row r="53" spans="1:10">
      <c r="A53" s="28" t="s">
        <v>235</v>
      </c>
      <c r="B53" s="32" t="s">
        <v>252</v>
      </c>
      <c r="C53" s="7">
        <v>1</v>
      </c>
      <c r="D53" s="7">
        <v>5</v>
      </c>
      <c r="E53" s="7">
        <v>200</v>
      </c>
      <c r="F53" s="7">
        <v>350</v>
      </c>
      <c r="G53" s="50">
        <f t="shared" si="12"/>
        <v>42.857142857142861</v>
      </c>
      <c r="H53" s="7">
        <f t="shared" si="13"/>
        <v>200</v>
      </c>
      <c r="I53" s="7">
        <f t="shared" si="14"/>
        <v>350</v>
      </c>
      <c r="J53" s="7" t="s">
        <v>630</v>
      </c>
    </row>
    <row r="54" spans="1:10">
      <c r="A54" s="28" t="s">
        <v>235</v>
      </c>
      <c r="B54" s="32" t="s">
        <v>248</v>
      </c>
      <c r="C54" s="7">
        <v>1</v>
      </c>
      <c r="D54" s="7">
        <v>5</v>
      </c>
      <c r="E54" s="7">
        <v>180</v>
      </c>
      <c r="F54" s="7">
        <v>250</v>
      </c>
      <c r="G54" s="50">
        <f t="shared" si="12"/>
        <v>28</v>
      </c>
      <c r="H54" s="7">
        <f t="shared" si="13"/>
        <v>180</v>
      </c>
      <c r="I54" s="7">
        <f t="shared" si="14"/>
        <v>250</v>
      </c>
      <c r="J54" s="7" t="s">
        <v>630</v>
      </c>
    </row>
    <row r="55" spans="1:10">
      <c r="A55" s="28" t="s">
        <v>235</v>
      </c>
      <c r="B55" s="32" t="s">
        <v>256</v>
      </c>
      <c r="C55" s="7">
        <v>2</v>
      </c>
      <c r="D55" s="7">
        <v>5</v>
      </c>
      <c r="E55" s="7">
        <v>250</v>
      </c>
      <c r="F55" s="7">
        <v>380</v>
      </c>
      <c r="G55" s="50">
        <f t="shared" si="12"/>
        <v>34.210526315789465</v>
      </c>
      <c r="H55" s="7">
        <f t="shared" si="13"/>
        <v>500</v>
      </c>
      <c r="I55" s="7">
        <f t="shared" si="14"/>
        <v>760</v>
      </c>
      <c r="J55" s="7" t="s">
        <v>630</v>
      </c>
    </row>
    <row r="56" spans="1:10">
      <c r="A56" s="28" t="s">
        <v>235</v>
      </c>
      <c r="B56" s="32" t="s">
        <v>257</v>
      </c>
      <c r="C56" s="7">
        <v>2</v>
      </c>
      <c r="D56" s="7">
        <v>5</v>
      </c>
      <c r="E56" s="7">
        <v>150</v>
      </c>
      <c r="F56" s="7">
        <v>250</v>
      </c>
      <c r="G56" s="50">
        <f t="shared" si="12"/>
        <v>40</v>
      </c>
      <c r="H56" s="7">
        <f t="shared" si="13"/>
        <v>300</v>
      </c>
      <c r="I56" s="7">
        <f t="shared" si="14"/>
        <v>500</v>
      </c>
      <c r="J56" s="7" t="s">
        <v>630</v>
      </c>
    </row>
    <row r="57" spans="1:10">
      <c r="A57" s="28" t="s">
        <v>235</v>
      </c>
      <c r="B57" s="32" t="s">
        <v>258</v>
      </c>
      <c r="C57" s="7">
        <v>1</v>
      </c>
      <c r="D57" s="7">
        <v>5</v>
      </c>
      <c r="E57" s="7">
        <v>40</v>
      </c>
      <c r="F57" s="7">
        <v>60</v>
      </c>
      <c r="G57" s="50">
        <f t="shared" si="12"/>
        <v>33.333333333333343</v>
      </c>
      <c r="H57" s="7">
        <f t="shared" si="13"/>
        <v>40</v>
      </c>
      <c r="I57" s="7">
        <f t="shared" si="14"/>
        <v>60</v>
      </c>
      <c r="J57" s="7" t="s">
        <v>630</v>
      </c>
    </row>
    <row r="58" spans="1:10">
      <c r="A58" s="28" t="s">
        <v>235</v>
      </c>
      <c r="B58" s="32" t="s">
        <v>268</v>
      </c>
      <c r="C58" s="7">
        <v>0</v>
      </c>
      <c r="D58" s="7">
        <v>5</v>
      </c>
      <c r="E58" s="7">
        <v>200</v>
      </c>
      <c r="F58" s="7">
        <v>270</v>
      </c>
      <c r="G58" s="50">
        <f t="shared" si="12"/>
        <v>25.925925925925924</v>
      </c>
      <c r="H58" s="7">
        <f t="shared" si="13"/>
        <v>0</v>
      </c>
      <c r="I58" s="7">
        <f t="shared" si="14"/>
        <v>0</v>
      </c>
      <c r="J58" s="7" t="s">
        <v>630</v>
      </c>
    </row>
    <row r="59" spans="1:10">
      <c r="A59" s="28" t="s">
        <v>235</v>
      </c>
      <c r="B59" s="32" t="s">
        <v>271</v>
      </c>
      <c r="C59" s="7">
        <v>2</v>
      </c>
      <c r="D59" s="7">
        <v>5</v>
      </c>
      <c r="E59" s="7">
        <v>90</v>
      </c>
      <c r="F59" s="7">
        <v>180</v>
      </c>
      <c r="G59" s="50">
        <f t="shared" si="12"/>
        <v>50</v>
      </c>
      <c r="H59" s="7">
        <f t="shared" si="13"/>
        <v>180</v>
      </c>
      <c r="I59" s="7">
        <f t="shared" si="14"/>
        <v>360</v>
      </c>
      <c r="J59" s="7" t="s">
        <v>630</v>
      </c>
    </row>
    <row r="60" spans="1:10">
      <c r="A60" s="28" t="s">
        <v>235</v>
      </c>
      <c r="B60" s="32" t="s">
        <v>274</v>
      </c>
      <c r="C60" s="7">
        <v>1</v>
      </c>
      <c r="D60" s="7">
        <v>5</v>
      </c>
      <c r="E60" s="7">
        <v>300</v>
      </c>
      <c r="F60" s="7">
        <v>380</v>
      </c>
      <c r="G60" s="50">
        <f t="shared" si="12"/>
        <v>21.05263157894737</v>
      </c>
      <c r="H60" s="7">
        <f t="shared" si="13"/>
        <v>300</v>
      </c>
      <c r="I60" s="7">
        <f t="shared" si="14"/>
        <v>380</v>
      </c>
      <c r="J60" s="7" t="s">
        <v>630</v>
      </c>
    </row>
    <row r="61" spans="1:10">
      <c r="A61" s="28" t="s">
        <v>342</v>
      </c>
      <c r="B61" s="33" t="s">
        <v>338</v>
      </c>
      <c r="C61" s="7">
        <v>6</v>
      </c>
      <c r="D61" s="7">
        <v>20</v>
      </c>
      <c r="E61" s="7">
        <v>70</v>
      </c>
      <c r="F61" s="7">
        <v>90</v>
      </c>
      <c r="G61" s="50">
        <f t="shared" si="12"/>
        <v>22.222222222222214</v>
      </c>
      <c r="H61" s="7">
        <f t="shared" si="13"/>
        <v>420</v>
      </c>
      <c r="I61" s="7">
        <f t="shared" si="14"/>
        <v>540</v>
      </c>
      <c r="J61" s="7" t="s">
        <v>630</v>
      </c>
    </row>
    <row r="62" spans="1:10">
      <c r="A62" s="28" t="s">
        <v>342</v>
      </c>
      <c r="B62" s="33" t="s">
        <v>340</v>
      </c>
      <c r="C62" s="7">
        <v>2</v>
      </c>
      <c r="D62" s="7">
        <v>5</v>
      </c>
      <c r="E62" s="7">
        <v>150</v>
      </c>
      <c r="F62" s="7">
        <v>250</v>
      </c>
      <c r="G62" s="50">
        <f t="shared" si="12"/>
        <v>40</v>
      </c>
      <c r="H62" s="7">
        <f t="shared" si="13"/>
        <v>300</v>
      </c>
      <c r="I62" s="7">
        <f t="shared" si="14"/>
        <v>500</v>
      </c>
      <c r="J62" s="7">
        <v>644</v>
      </c>
    </row>
    <row r="63" spans="1:10">
      <c r="A63" s="28" t="s">
        <v>342</v>
      </c>
      <c r="B63" s="33" t="s">
        <v>343</v>
      </c>
      <c r="C63" s="7">
        <v>0</v>
      </c>
      <c r="D63" s="7">
        <v>5</v>
      </c>
      <c r="E63" s="7">
        <v>200</v>
      </c>
      <c r="F63" s="7">
        <v>250</v>
      </c>
      <c r="G63" s="50">
        <f t="shared" si="12"/>
        <v>20</v>
      </c>
      <c r="H63" s="7">
        <f t="shared" si="13"/>
        <v>0</v>
      </c>
      <c r="I63" s="7">
        <f t="shared" si="14"/>
        <v>0</v>
      </c>
      <c r="J63" s="7" t="s">
        <v>630</v>
      </c>
    </row>
    <row r="64" spans="1:10" ht="15.75" thickBot="1">
      <c r="A64" s="28" t="s">
        <v>342</v>
      </c>
      <c r="B64" s="33" t="s">
        <v>345</v>
      </c>
      <c r="C64" s="7">
        <v>0</v>
      </c>
      <c r="D64" s="7">
        <v>5</v>
      </c>
      <c r="E64" s="7">
        <v>90</v>
      </c>
      <c r="F64" s="7">
        <v>120</v>
      </c>
      <c r="G64" s="50">
        <f t="shared" si="12"/>
        <v>25</v>
      </c>
      <c r="H64" s="7">
        <f t="shared" si="13"/>
        <v>0</v>
      </c>
      <c r="I64" s="7">
        <f t="shared" si="14"/>
        <v>0</v>
      </c>
      <c r="J64" s="7" t="s">
        <v>630</v>
      </c>
    </row>
    <row r="65" spans="1:10">
      <c r="A65" s="37"/>
      <c r="B65" s="5"/>
      <c r="C65" s="5" t="s">
        <v>475</v>
      </c>
      <c r="D65" s="5" t="s">
        <v>538</v>
      </c>
      <c r="E65" s="10" t="s">
        <v>612</v>
      </c>
      <c r="F65" s="12" t="s">
        <v>613</v>
      </c>
      <c r="G65" s="9" t="s">
        <v>641</v>
      </c>
      <c r="H65" s="57" t="s">
        <v>614</v>
      </c>
      <c r="I65" s="58" t="s">
        <v>615</v>
      </c>
      <c r="J65" s="51" t="s">
        <v>626</v>
      </c>
    </row>
    <row r="66" spans="1:10">
      <c r="A66" s="28" t="s">
        <v>237</v>
      </c>
      <c r="B66" s="7" t="s">
        <v>238</v>
      </c>
      <c r="C66" s="7">
        <v>3</v>
      </c>
      <c r="D66" s="7">
        <v>10</v>
      </c>
      <c r="E66" s="7">
        <v>100</v>
      </c>
      <c r="F66" s="7">
        <v>130</v>
      </c>
      <c r="G66" s="50">
        <f>100-((E66/F66)*100)</f>
        <v>23.076923076923066</v>
      </c>
      <c r="H66" s="7">
        <f>+E66*C66</f>
        <v>300</v>
      </c>
      <c r="I66" s="7">
        <f>+F66*C66</f>
        <v>390</v>
      </c>
      <c r="J66" s="16">
        <v>644</v>
      </c>
    </row>
    <row r="67" spans="1:10">
      <c r="A67" s="28" t="s">
        <v>237</v>
      </c>
      <c r="B67" s="7" t="s">
        <v>285</v>
      </c>
      <c r="C67" s="7">
        <v>1</v>
      </c>
      <c r="D67" s="7">
        <v>5</v>
      </c>
      <c r="E67" s="7">
        <v>90</v>
      </c>
      <c r="F67" s="7">
        <v>180</v>
      </c>
      <c r="G67" s="50">
        <f t="shared" ref="G67:G89" si="15">100-((E67/F67)*100)</f>
        <v>50</v>
      </c>
      <c r="H67" s="7">
        <f t="shared" ref="H67:H89" si="16">+E67*C67</f>
        <v>90</v>
      </c>
      <c r="I67" s="7">
        <f t="shared" ref="I67:I89" si="17">+F67*C67</f>
        <v>180</v>
      </c>
      <c r="J67" s="16">
        <v>644</v>
      </c>
    </row>
    <row r="68" spans="1:10">
      <c r="A68" s="28" t="s">
        <v>237</v>
      </c>
      <c r="B68" s="7" t="s">
        <v>286</v>
      </c>
      <c r="C68" s="7">
        <v>1</v>
      </c>
      <c r="D68" s="7">
        <v>5</v>
      </c>
      <c r="E68" s="7">
        <v>200</v>
      </c>
      <c r="F68" s="7">
        <v>350</v>
      </c>
      <c r="G68" s="50">
        <f t="shared" si="15"/>
        <v>42.857142857142861</v>
      </c>
      <c r="H68" s="7">
        <f t="shared" si="16"/>
        <v>200</v>
      </c>
      <c r="I68" s="7">
        <f t="shared" si="17"/>
        <v>350</v>
      </c>
      <c r="J68" s="16">
        <v>644</v>
      </c>
    </row>
    <row r="69" spans="1:10">
      <c r="A69" s="28" t="s">
        <v>237</v>
      </c>
      <c r="B69" s="7" t="s">
        <v>287</v>
      </c>
      <c r="C69" s="7">
        <v>7</v>
      </c>
      <c r="D69" s="7">
        <v>20</v>
      </c>
      <c r="E69" s="7">
        <v>45</v>
      </c>
      <c r="F69" s="7">
        <v>60</v>
      </c>
      <c r="G69" s="50">
        <f t="shared" si="15"/>
        <v>25</v>
      </c>
      <c r="H69" s="7">
        <f t="shared" si="16"/>
        <v>315</v>
      </c>
      <c r="I69" s="7">
        <f t="shared" si="17"/>
        <v>420</v>
      </c>
      <c r="J69" s="16">
        <v>644</v>
      </c>
    </row>
    <row r="70" spans="1:10">
      <c r="A70" s="28" t="s">
        <v>237</v>
      </c>
      <c r="B70" s="7" t="s">
        <v>288</v>
      </c>
      <c r="C70" s="7">
        <v>40</v>
      </c>
      <c r="D70" s="7">
        <v>50</v>
      </c>
      <c r="E70" s="7">
        <v>7</v>
      </c>
      <c r="F70" s="7">
        <v>10</v>
      </c>
      <c r="G70" s="50">
        <f t="shared" si="15"/>
        <v>30</v>
      </c>
      <c r="H70" s="7">
        <f t="shared" si="16"/>
        <v>280</v>
      </c>
      <c r="I70" s="7">
        <f t="shared" si="17"/>
        <v>400</v>
      </c>
      <c r="J70" s="16">
        <v>644</v>
      </c>
    </row>
    <row r="71" spans="1:10">
      <c r="A71" s="28" t="s">
        <v>237</v>
      </c>
      <c r="B71" s="7" t="s">
        <v>289</v>
      </c>
      <c r="C71" s="7">
        <v>0</v>
      </c>
      <c r="D71" s="7">
        <v>5</v>
      </c>
      <c r="E71" s="7">
        <v>15</v>
      </c>
      <c r="F71" s="7">
        <v>40</v>
      </c>
      <c r="G71" s="50">
        <f t="shared" si="15"/>
        <v>62.5</v>
      </c>
      <c r="H71" s="7">
        <f t="shared" si="16"/>
        <v>0</v>
      </c>
      <c r="I71" s="7">
        <f t="shared" si="17"/>
        <v>0</v>
      </c>
      <c r="J71" s="16">
        <v>644</v>
      </c>
    </row>
    <row r="72" spans="1:10">
      <c r="A72" s="28" t="s">
        <v>237</v>
      </c>
      <c r="B72" s="7" t="s">
        <v>292</v>
      </c>
      <c r="C72" s="7">
        <v>0</v>
      </c>
      <c r="D72" s="7">
        <v>5</v>
      </c>
      <c r="E72" s="7">
        <v>55</v>
      </c>
      <c r="F72" s="7">
        <v>90</v>
      </c>
      <c r="G72" s="50">
        <f t="shared" si="15"/>
        <v>38.888888888888886</v>
      </c>
      <c r="H72" s="7">
        <f t="shared" si="16"/>
        <v>0</v>
      </c>
      <c r="I72" s="7">
        <f t="shared" si="17"/>
        <v>0</v>
      </c>
      <c r="J72" s="16">
        <v>644</v>
      </c>
    </row>
    <row r="73" spans="1:10">
      <c r="A73" s="28" t="s">
        <v>237</v>
      </c>
      <c r="B73" s="7" t="s">
        <v>293</v>
      </c>
      <c r="C73" s="7">
        <v>0</v>
      </c>
      <c r="D73" s="7">
        <v>5</v>
      </c>
      <c r="E73" s="7">
        <v>75</v>
      </c>
      <c r="F73" s="7">
        <v>180</v>
      </c>
      <c r="G73" s="50">
        <f t="shared" si="15"/>
        <v>58.333333333333329</v>
      </c>
      <c r="H73" s="7">
        <f t="shared" si="16"/>
        <v>0</v>
      </c>
      <c r="I73" s="7">
        <f t="shared" si="17"/>
        <v>0</v>
      </c>
      <c r="J73" s="16">
        <v>644</v>
      </c>
    </row>
    <row r="74" spans="1:10">
      <c r="A74" s="28" t="s">
        <v>237</v>
      </c>
      <c r="B74" s="7" t="s">
        <v>298</v>
      </c>
      <c r="C74" s="7">
        <v>0</v>
      </c>
      <c r="D74" s="7">
        <v>5</v>
      </c>
      <c r="E74" s="7">
        <v>130</v>
      </c>
      <c r="F74" s="7">
        <v>250</v>
      </c>
      <c r="G74" s="50">
        <f t="shared" si="15"/>
        <v>48</v>
      </c>
      <c r="H74" s="7">
        <f t="shared" si="16"/>
        <v>0</v>
      </c>
      <c r="I74" s="7">
        <f t="shared" si="17"/>
        <v>0</v>
      </c>
      <c r="J74" s="16">
        <v>472</v>
      </c>
    </row>
    <row r="75" spans="1:10">
      <c r="A75" s="28" t="s">
        <v>237</v>
      </c>
      <c r="B75" s="7" t="s">
        <v>299</v>
      </c>
      <c r="C75" s="7">
        <v>1</v>
      </c>
      <c r="D75" s="7">
        <v>5</v>
      </c>
      <c r="E75" s="7">
        <v>120</v>
      </c>
      <c r="F75" s="7">
        <v>250</v>
      </c>
      <c r="G75" s="50">
        <f t="shared" si="15"/>
        <v>52</v>
      </c>
      <c r="H75" s="7">
        <f t="shared" si="16"/>
        <v>120</v>
      </c>
      <c r="I75" s="7">
        <f t="shared" si="17"/>
        <v>250</v>
      </c>
      <c r="J75" s="16">
        <v>472</v>
      </c>
    </row>
    <row r="76" spans="1:10">
      <c r="A76" s="28" t="s">
        <v>237</v>
      </c>
      <c r="B76" s="7" t="s">
        <v>300</v>
      </c>
      <c r="C76" s="7">
        <v>1</v>
      </c>
      <c r="D76" s="7">
        <v>5</v>
      </c>
      <c r="E76" s="7">
        <v>300</v>
      </c>
      <c r="F76" s="7">
        <v>400</v>
      </c>
      <c r="G76" s="50">
        <f t="shared" si="15"/>
        <v>25</v>
      </c>
      <c r="H76" s="7">
        <f t="shared" si="16"/>
        <v>300</v>
      </c>
      <c r="I76" s="7">
        <f t="shared" si="17"/>
        <v>400</v>
      </c>
      <c r="J76" s="16">
        <v>644</v>
      </c>
    </row>
    <row r="77" spans="1:10">
      <c r="A77" s="28" t="s">
        <v>237</v>
      </c>
      <c r="B77" s="7" t="s">
        <v>301</v>
      </c>
      <c r="C77" s="7">
        <v>4</v>
      </c>
      <c r="D77" s="7">
        <v>5</v>
      </c>
      <c r="E77" s="7">
        <v>90</v>
      </c>
      <c r="F77" s="7">
        <v>150</v>
      </c>
      <c r="G77" s="50">
        <f t="shared" si="15"/>
        <v>40</v>
      </c>
      <c r="H77" s="7">
        <f t="shared" si="16"/>
        <v>360</v>
      </c>
      <c r="I77" s="7">
        <f t="shared" si="17"/>
        <v>600</v>
      </c>
      <c r="J77" s="16">
        <v>594</v>
      </c>
    </row>
    <row r="78" spans="1:10">
      <c r="A78" s="28" t="s">
        <v>237</v>
      </c>
      <c r="B78" s="7" t="s">
        <v>302</v>
      </c>
      <c r="C78" s="7">
        <v>0</v>
      </c>
      <c r="D78" s="7">
        <v>5</v>
      </c>
      <c r="E78" s="7">
        <v>350</v>
      </c>
      <c r="F78" s="7">
        <v>400</v>
      </c>
      <c r="G78" s="50">
        <f t="shared" si="15"/>
        <v>12.5</v>
      </c>
      <c r="H78" s="7">
        <f t="shared" si="16"/>
        <v>0</v>
      </c>
      <c r="I78" s="7">
        <f t="shared" si="17"/>
        <v>0</v>
      </c>
      <c r="J78" s="16">
        <v>594</v>
      </c>
    </row>
    <row r="79" spans="1:10">
      <c r="A79" s="28" t="s">
        <v>237</v>
      </c>
      <c r="B79" s="7" t="s">
        <v>305</v>
      </c>
      <c r="C79" s="7">
        <v>0</v>
      </c>
      <c r="D79" s="7">
        <v>5</v>
      </c>
      <c r="E79" s="7">
        <v>220</v>
      </c>
      <c r="F79" s="7">
        <v>300</v>
      </c>
      <c r="G79" s="50">
        <f t="shared" si="15"/>
        <v>26.666666666666671</v>
      </c>
      <c r="H79" s="7">
        <f t="shared" si="16"/>
        <v>0</v>
      </c>
      <c r="I79" s="7">
        <f t="shared" si="17"/>
        <v>0</v>
      </c>
      <c r="J79" s="16">
        <v>594</v>
      </c>
    </row>
    <row r="80" spans="1:10">
      <c r="A80" s="42" t="s">
        <v>294</v>
      </c>
      <c r="B80" s="16" t="s">
        <v>295</v>
      </c>
      <c r="C80" s="7">
        <v>0</v>
      </c>
      <c r="D80" s="7">
        <v>10</v>
      </c>
      <c r="E80" s="7">
        <v>100</v>
      </c>
      <c r="F80" s="7">
        <v>140</v>
      </c>
      <c r="G80" s="50">
        <f t="shared" si="15"/>
        <v>28.571428571428569</v>
      </c>
      <c r="H80" s="7">
        <f t="shared" si="16"/>
        <v>0</v>
      </c>
      <c r="I80" s="7">
        <f t="shared" si="17"/>
        <v>0</v>
      </c>
      <c r="J80" s="16">
        <v>644</v>
      </c>
    </row>
    <row r="81" spans="1:10">
      <c r="A81" s="42" t="s">
        <v>294</v>
      </c>
      <c r="B81" s="16" t="s">
        <v>296</v>
      </c>
      <c r="C81" s="7">
        <v>0</v>
      </c>
      <c r="D81" s="7">
        <v>10</v>
      </c>
      <c r="E81" s="7">
        <v>100</v>
      </c>
      <c r="F81" s="7">
        <v>140</v>
      </c>
      <c r="G81" s="50">
        <f t="shared" si="15"/>
        <v>28.571428571428569</v>
      </c>
      <c r="H81" s="7">
        <f t="shared" si="16"/>
        <v>0</v>
      </c>
      <c r="I81" s="7">
        <f t="shared" si="17"/>
        <v>0</v>
      </c>
      <c r="J81" s="16">
        <v>644</v>
      </c>
    </row>
    <row r="82" spans="1:10">
      <c r="A82" s="42" t="s">
        <v>294</v>
      </c>
      <c r="B82" s="16" t="s">
        <v>297</v>
      </c>
      <c r="C82" s="7">
        <v>2</v>
      </c>
      <c r="D82" s="7">
        <v>10</v>
      </c>
      <c r="E82" s="7">
        <v>90</v>
      </c>
      <c r="F82" s="7">
        <v>120</v>
      </c>
      <c r="G82" s="50">
        <f t="shared" si="15"/>
        <v>25</v>
      </c>
      <c r="H82" s="7">
        <f t="shared" si="16"/>
        <v>180</v>
      </c>
      <c r="I82" s="7">
        <f t="shared" si="17"/>
        <v>240</v>
      </c>
      <c r="J82" s="16">
        <v>644</v>
      </c>
    </row>
    <row r="83" spans="1:10">
      <c r="A83" s="42" t="s">
        <v>294</v>
      </c>
      <c r="B83" s="7" t="s">
        <v>478</v>
      </c>
      <c r="C83" s="7">
        <v>0</v>
      </c>
      <c r="D83" s="7">
        <v>10</v>
      </c>
      <c r="E83" s="7">
        <v>90</v>
      </c>
      <c r="F83" s="7">
        <v>120</v>
      </c>
      <c r="G83" s="50">
        <f t="shared" si="15"/>
        <v>25</v>
      </c>
      <c r="H83" s="7">
        <f t="shared" si="16"/>
        <v>0</v>
      </c>
      <c r="I83" s="7">
        <f t="shared" si="17"/>
        <v>0</v>
      </c>
      <c r="J83" s="16">
        <v>644</v>
      </c>
    </row>
    <row r="84" spans="1:10">
      <c r="A84" s="42" t="s">
        <v>294</v>
      </c>
      <c r="B84" s="7" t="s">
        <v>479</v>
      </c>
      <c r="C84" s="7">
        <v>2</v>
      </c>
      <c r="D84" s="7">
        <v>10</v>
      </c>
      <c r="E84" s="7">
        <v>90</v>
      </c>
      <c r="F84" s="7">
        <v>120</v>
      </c>
      <c r="G84" s="50">
        <f t="shared" si="15"/>
        <v>25</v>
      </c>
      <c r="H84" s="7">
        <f t="shared" si="16"/>
        <v>180</v>
      </c>
      <c r="I84" s="7">
        <f t="shared" si="17"/>
        <v>240</v>
      </c>
      <c r="J84" s="16">
        <v>644</v>
      </c>
    </row>
    <row r="85" spans="1:10">
      <c r="A85" s="42" t="s">
        <v>294</v>
      </c>
      <c r="B85" s="7" t="s">
        <v>480</v>
      </c>
      <c r="C85" s="7">
        <v>2</v>
      </c>
      <c r="D85" s="7">
        <v>10</v>
      </c>
      <c r="E85" s="7">
        <v>90</v>
      </c>
      <c r="F85" s="7">
        <v>120</v>
      </c>
      <c r="G85" s="50">
        <f t="shared" si="15"/>
        <v>25</v>
      </c>
      <c r="H85" s="7">
        <f t="shared" si="16"/>
        <v>180</v>
      </c>
      <c r="I85" s="7">
        <f t="shared" si="17"/>
        <v>240</v>
      </c>
      <c r="J85" s="16">
        <v>644</v>
      </c>
    </row>
    <row r="86" spans="1:10">
      <c r="A86" s="42" t="s">
        <v>294</v>
      </c>
      <c r="B86" s="7" t="s">
        <v>481</v>
      </c>
      <c r="C86" s="7">
        <v>0</v>
      </c>
      <c r="D86" s="7">
        <v>10</v>
      </c>
      <c r="E86" s="7">
        <v>90</v>
      </c>
      <c r="F86" s="7">
        <v>120</v>
      </c>
      <c r="G86" s="50">
        <f t="shared" si="15"/>
        <v>25</v>
      </c>
      <c r="H86" s="7">
        <f t="shared" si="16"/>
        <v>0</v>
      </c>
      <c r="I86" s="7">
        <f t="shared" si="17"/>
        <v>0</v>
      </c>
      <c r="J86" s="16">
        <v>644</v>
      </c>
    </row>
    <row r="87" spans="1:10">
      <c r="A87" s="42" t="s">
        <v>294</v>
      </c>
      <c r="B87" s="7" t="s">
        <v>482</v>
      </c>
      <c r="C87" s="7">
        <v>0</v>
      </c>
      <c r="D87" s="7">
        <v>10</v>
      </c>
      <c r="E87" s="7">
        <v>90</v>
      </c>
      <c r="F87" s="7">
        <v>120</v>
      </c>
      <c r="G87" s="50">
        <f t="shared" si="15"/>
        <v>25</v>
      </c>
      <c r="H87" s="7">
        <f t="shared" si="16"/>
        <v>0</v>
      </c>
      <c r="I87" s="7">
        <f t="shared" si="17"/>
        <v>0</v>
      </c>
      <c r="J87" s="16">
        <v>644</v>
      </c>
    </row>
    <row r="88" spans="1:10">
      <c r="A88" s="42" t="s">
        <v>294</v>
      </c>
      <c r="B88" s="7" t="s">
        <v>483</v>
      </c>
      <c r="C88" s="7">
        <v>8</v>
      </c>
      <c r="D88" s="7">
        <v>10</v>
      </c>
      <c r="E88" s="7">
        <v>90</v>
      </c>
      <c r="F88" s="7">
        <v>120</v>
      </c>
      <c r="G88" s="50">
        <f t="shared" si="15"/>
        <v>25</v>
      </c>
      <c r="H88" s="7">
        <f t="shared" si="16"/>
        <v>720</v>
      </c>
      <c r="I88" s="7">
        <f t="shared" si="17"/>
        <v>960</v>
      </c>
      <c r="J88" s="16">
        <v>644</v>
      </c>
    </row>
    <row r="89" spans="1:10" ht="15.75" thickBot="1">
      <c r="A89" s="42" t="s">
        <v>294</v>
      </c>
      <c r="B89" s="7" t="s">
        <v>484</v>
      </c>
      <c r="C89" s="7">
        <v>6</v>
      </c>
      <c r="D89" s="7">
        <v>10</v>
      </c>
      <c r="E89" s="7">
        <v>130</v>
      </c>
      <c r="F89" s="7">
        <v>180</v>
      </c>
      <c r="G89" s="50">
        <f t="shared" si="15"/>
        <v>27.777777777777786</v>
      </c>
      <c r="H89" s="7">
        <f t="shared" si="16"/>
        <v>780</v>
      </c>
      <c r="I89" s="7">
        <f t="shared" si="17"/>
        <v>1080</v>
      </c>
      <c r="J89" s="16">
        <v>644</v>
      </c>
    </row>
    <row r="90" spans="1:10" ht="15.75" thickBot="1">
      <c r="A90" s="37"/>
      <c r="B90" s="28"/>
      <c r="C90" s="24" t="s">
        <v>475</v>
      </c>
      <c r="D90" s="35" t="s">
        <v>538</v>
      </c>
      <c r="E90" s="10" t="s">
        <v>612</v>
      </c>
      <c r="F90" s="12" t="s">
        <v>613</v>
      </c>
      <c r="G90" s="9" t="s">
        <v>641</v>
      </c>
      <c r="H90" s="57" t="s">
        <v>614</v>
      </c>
      <c r="I90" s="58" t="s">
        <v>615</v>
      </c>
      <c r="J90" s="51" t="s">
        <v>626</v>
      </c>
    </row>
    <row r="91" spans="1:10">
      <c r="A91" s="28" t="s">
        <v>346</v>
      </c>
      <c r="B91" s="32" t="s">
        <v>687</v>
      </c>
      <c r="C91" s="7">
        <v>1</v>
      </c>
      <c r="D91" s="18">
        <v>10</v>
      </c>
      <c r="E91" s="7">
        <v>40</v>
      </c>
      <c r="F91" s="7">
        <v>60</v>
      </c>
      <c r="G91" s="74">
        <f>100-((E91/F91)*100)</f>
        <v>33.333333333333343</v>
      </c>
      <c r="H91" s="7">
        <f>+E91*C91</f>
        <v>40</v>
      </c>
      <c r="I91" s="7">
        <f>+F91*C91</f>
        <v>60</v>
      </c>
      <c r="J91" s="16">
        <v>472</v>
      </c>
    </row>
    <row r="92" spans="1:10">
      <c r="A92" s="28" t="s">
        <v>346</v>
      </c>
      <c r="B92" s="32" t="s">
        <v>487</v>
      </c>
      <c r="C92" s="7">
        <v>0</v>
      </c>
      <c r="D92" s="7">
        <v>10</v>
      </c>
      <c r="E92" s="7">
        <v>25</v>
      </c>
      <c r="F92" s="7">
        <v>40</v>
      </c>
      <c r="G92" s="74">
        <f t="shared" ref="G92:G155" si="18">100-((E92/F92)*100)</f>
        <v>37.5</v>
      </c>
      <c r="H92" s="7">
        <f t="shared" ref="H92:H155" si="19">+E92*C92</f>
        <v>0</v>
      </c>
      <c r="I92" s="7">
        <f t="shared" ref="I92:I155" si="20">+F92*C92</f>
        <v>0</v>
      </c>
      <c r="J92" s="7"/>
    </row>
    <row r="93" spans="1:10">
      <c r="A93" s="28" t="s">
        <v>346</v>
      </c>
      <c r="B93" s="32" t="s">
        <v>348</v>
      </c>
      <c r="C93" s="7">
        <v>0</v>
      </c>
      <c r="D93" s="7">
        <v>5</v>
      </c>
      <c r="E93" s="7">
        <v>30</v>
      </c>
      <c r="F93" s="7">
        <v>50</v>
      </c>
      <c r="G93" s="74">
        <f t="shared" si="18"/>
        <v>40</v>
      </c>
      <c r="H93" s="7">
        <f t="shared" si="19"/>
        <v>0</v>
      </c>
      <c r="I93" s="7">
        <f t="shared" si="20"/>
        <v>0</v>
      </c>
      <c r="J93" s="7"/>
    </row>
    <row r="94" spans="1:10">
      <c r="A94" s="28" t="s">
        <v>346</v>
      </c>
      <c r="B94" s="32" t="s">
        <v>350</v>
      </c>
      <c r="C94" s="7">
        <v>0</v>
      </c>
      <c r="D94" s="7">
        <v>5</v>
      </c>
      <c r="E94" s="7">
        <v>40</v>
      </c>
      <c r="F94" s="7">
        <v>60</v>
      </c>
      <c r="G94" s="74">
        <f t="shared" si="18"/>
        <v>33.333333333333343</v>
      </c>
      <c r="H94" s="7">
        <f t="shared" si="19"/>
        <v>0</v>
      </c>
      <c r="I94" s="7">
        <f t="shared" si="20"/>
        <v>0</v>
      </c>
      <c r="J94" s="7"/>
    </row>
    <row r="95" spans="1:10">
      <c r="A95" s="28" t="s">
        <v>346</v>
      </c>
      <c r="B95" s="32" t="s">
        <v>351</v>
      </c>
      <c r="C95" s="7">
        <v>0</v>
      </c>
      <c r="D95" s="7">
        <v>5</v>
      </c>
      <c r="E95" s="7">
        <v>10</v>
      </c>
      <c r="F95" s="7">
        <v>20</v>
      </c>
      <c r="G95" s="74">
        <f t="shared" si="18"/>
        <v>50</v>
      </c>
      <c r="H95" s="7">
        <f t="shared" si="19"/>
        <v>0</v>
      </c>
      <c r="I95" s="7">
        <f t="shared" si="20"/>
        <v>0</v>
      </c>
      <c r="J95" s="7"/>
    </row>
    <row r="96" spans="1:10">
      <c r="A96" s="28" t="s">
        <v>346</v>
      </c>
      <c r="B96" s="32" t="s">
        <v>632</v>
      </c>
      <c r="C96" s="7">
        <v>2</v>
      </c>
      <c r="D96" s="7">
        <v>5</v>
      </c>
      <c r="E96" s="7">
        <v>20</v>
      </c>
      <c r="F96" s="7">
        <v>40</v>
      </c>
      <c r="G96" s="74">
        <f t="shared" si="18"/>
        <v>50</v>
      </c>
      <c r="H96" s="7">
        <f t="shared" si="19"/>
        <v>40</v>
      </c>
      <c r="I96" s="7">
        <f t="shared" si="20"/>
        <v>80</v>
      </c>
      <c r="J96" s="7"/>
    </row>
    <row r="97" spans="1:10">
      <c r="A97" s="28" t="s">
        <v>352</v>
      </c>
      <c r="B97" s="32" t="s">
        <v>353</v>
      </c>
      <c r="C97" s="7">
        <v>1</v>
      </c>
      <c r="D97" s="7">
        <v>5</v>
      </c>
      <c r="E97" s="7">
        <v>10</v>
      </c>
      <c r="F97" s="7">
        <v>15</v>
      </c>
      <c r="G97" s="74">
        <f t="shared" si="18"/>
        <v>33.333333333333343</v>
      </c>
      <c r="H97" s="7">
        <f t="shared" si="19"/>
        <v>10</v>
      </c>
      <c r="I97" s="7">
        <f t="shared" si="20"/>
        <v>15</v>
      </c>
      <c r="J97" s="7"/>
    </row>
    <row r="98" spans="1:10">
      <c r="A98" s="28" t="s">
        <v>352</v>
      </c>
      <c r="B98" s="32" t="s">
        <v>619</v>
      </c>
      <c r="C98" s="7">
        <v>0</v>
      </c>
      <c r="D98" s="7">
        <v>5</v>
      </c>
      <c r="E98" s="7">
        <v>90</v>
      </c>
      <c r="F98" s="7">
        <v>300</v>
      </c>
      <c r="G98" s="74">
        <f t="shared" si="18"/>
        <v>70</v>
      </c>
      <c r="H98" s="7">
        <f t="shared" si="19"/>
        <v>0</v>
      </c>
      <c r="I98" s="7">
        <f t="shared" si="20"/>
        <v>0</v>
      </c>
      <c r="J98" s="16">
        <v>472</v>
      </c>
    </row>
    <row r="99" spans="1:10">
      <c r="A99" s="28" t="s">
        <v>352</v>
      </c>
      <c r="B99" s="32" t="s">
        <v>618</v>
      </c>
      <c r="C99" s="7">
        <v>0</v>
      </c>
      <c r="D99" s="7">
        <v>5</v>
      </c>
      <c r="E99" s="7">
        <v>90</v>
      </c>
      <c r="F99" s="7">
        <v>250</v>
      </c>
      <c r="G99" s="74">
        <f t="shared" si="18"/>
        <v>64</v>
      </c>
      <c r="H99" s="7">
        <f t="shared" si="19"/>
        <v>0</v>
      </c>
      <c r="I99" s="7">
        <f t="shared" si="20"/>
        <v>0</v>
      </c>
      <c r="J99" s="16">
        <v>472</v>
      </c>
    </row>
    <row r="100" spans="1:10">
      <c r="A100" s="28" t="s">
        <v>352</v>
      </c>
      <c r="B100" s="32" t="s">
        <v>620</v>
      </c>
      <c r="C100" s="7">
        <v>0</v>
      </c>
      <c r="D100" s="7">
        <v>5</v>
      </c>
      <c r="E100" s="7">
        <v>200</v>
      </c>
      <c r="F100" s="7">
        <v>350</v>
      </c>
      <c r="G100" s="74">
        <f t="shared" si="18"/>
        <v>42.857142857142861</v>
      </c>
      <c r="H100" s="7">
        <f t="shared" si="19"/>
        <v>0</v>
      </c>
      <c r="I100" s="7">
        <f t="shared" si="20"/>
        <v>0</v>
      </c>
      <c r="J100" s="7"/>
    </row>
    <row r="101" spans="1:10">
      <c r="A101" s="28" t="s">
        <v>360</v>
      </c>
      <c r="B101" s="32" t="s">
        <v>362</v>
      </c>
      <c r="C101" s="7">
        <v>0</v>
      </c>
      <c r="D101" s="7">
        <v>5</v>
      </c>
      <c r="E101" s="7"/>
      <c r="F101" s="7"/>
      <c r="G101" s="74" t="e">
        <f t="shared" si="18"/>
        <v>#DIV/0!</v>
      </c>
      <c r="H101" s="7">
        <f t="shared" si="19"/>
        <v>0</v>
      </c>
      <c r="I101" s="7">
        <f t="shared" si="20"/>
        <v>0</v>
      </c>
      <c r="J101" s="7"/>
    </row>
    <row r="102" spans="1:10">
      <c r="A102" s="28" t="s">
        <v>360</v>
      </c>
      <c r="B102" s="32" t="s">
        <v>689</v>
      </c>
      <c r="C102" s="7">
        <v>0</v>
      </c>
      <c r="D102" s="7">
        <v>10</v>
      </c>
      <c r="E102" s="7"/>
      <c r="F102" s="7"/>
      <c r="G102" s="74" t="e">
        <f t="shared" si="18"/>
        <v>#DIV/0!</v>
      </c>
      <c r="H102" s="7">
        <f t="shared" si="19"/>
        <v>0</v>
      </c>
      <c r="I102" s="7">
        <f t="shared" si="20"/>
        <v>0</v>
      </c>
      <c r="J102" s="7">
        <v>644</v>
      </c>
    </row>
    <row r="103" spans="1:10">
      <c r="A103" s="28" t="s">
        <v>360</v>
      </c>
      <c r="B103" s="32" t="s">
        <v>366</v>
      </c>
      <c r="C103" s="7">
        <v>3</v>
      </c>
      <c r="D103" s="7">
        <v>5</v>
      </c>
      <c r="E103" s="7">
        <v>330</v>
      </c>
      <c r="F103" s="7">
        <v>450</v>
      </c>
      <c r="G103" s="74">
        <f t="shared" si="18"/>
        <v>26.666666666666671</v>
      </c>
      <c r="H103" s="7">
        <f t="shared" si="19"/>
        <v>990</v>
      </c>
      <c r="I103" s="7">
        <f t="shared" si="20"/>
        <v>1350</v>
      </c>
      <c r="J103" s="16" t="s">
        <v>631</v>
      </c>
    </row>
    <row r="104" spans="1:10">
      <c r="A104" s="28" t="s">
        <v>360</v>
      </c>
      <c r="B104" s="32" t="s">
        <v>364</v>
      </c>
      <c r="C104" s="7">
        <v>0</v>
      </c>
      <c r="D104" s="7">
        <v>5</v>
      </c>
      <c r="E104" s="7">
        <v>25</v>
      </c>
      <c r="F104" s="7">
        <v>50</v>
      </c>
      <c r="G104" s="74">
        <f t="shared" si="18"/>
        <v>50</v>
      </c>
      <c r="H104" s="7">
        <f t="shared" si="19"/>
        <v>0</v>
      </c>
      <c r="I104" s="7">
        <f t="shared" si="20"/>
        <v>0</v>
      </c>
      <c r="J104" s="7"/>
    </row>
    <row r="105" spans="1:10">
      <c r="A105" s="28" t="s">
        <v>360</v>
      </c>
      <c r="B105" s="32" t="s">
        <v>365</v>
      </c>
      <c r="C105" s="7">
        <v>1</v>
      </c>
      <c r="D105" s="7">
        <v>5</v>
      </c>
      <c r="E105" s="7">
        <v>200</v>
      </c>
      <c r="F105" s="13">
        <v>280</v>
      </c>
      <c r="G105" s="74">
        <f t="shared" si="18"/>
        <v>28.571428571428569</v>
      </c>
      <c r="H105" s="7">
        <f t="shared" si="19"/>
        <v>200</v>
      </c>
      <c r="I105" s="7">
        <f t="shared" si="20"/>
        <v>280</v>
      </c>
      <c r="J105" s="16">
        <v>594</v>
      </c>
    </row>
    <row r="106" spans="1:10">
      <c r="A106" s="28" t="s">
        <v>367</v>
      </c>
      <c r="B106" s="32" t="s">
        <v>368</v>
      </c>
      <c r="C106" s="7">
        <v>4</v>
      </c>
      <c r="D106" s="7">
        <v>10</v>
      </c>
      <c r="E106" s="7">
        <v>60</v>
      </c>
      <c r="F106" s="7">
        <v>120</v>
      </c>
      <c r="G106" s="74">
        <f t="shared" si="18"/>
        <v>50</v>
      </c>
      <c r="H106" s="7">
        <f t="shared" si="19"/>
        <v>240</v>
      </c>
      <c r="I106" s="7">
        <f t="shared" si="20"/>
        <v>480</v>
      </c>
      <c r="J106" s="16">
        <v>594</v>
      </c>
    </row>
    <row r="107" spans="1:10">
      <c r="A107" s="28" t="s">
        <v>367</v>
      </c>
      <c r="B107" s="32" t="s">
        <v>369</v>
      </c>
      <c r="C107" s="7">
        <v>0</v>
      </c>
      <c r="D107" s="7">
        <v>10</v>
      </c>
      <c r="E107" s="7">
        <v>90</v>
      </c>
      <c r="F107" s="7">
        <v>150</v>
      </c>
      <c r="G107" s="74">
        <f t="shared" si="18"/>
        <v>40</v>
      </c>
      <c r="H107" s="7">
        <f t="shared" si="19"/>
        <v>0</v>
      </c>
      <c r="I107" s="7">
        <f t="shared" si="20"/>
        <v>0</v>
      </c>
      <c r="J107" s="16">
        <v>594</v>
      </c>
    </row>
    <row r="108" spans="1:10">
      <c r="A108" s="28" t="s">
        <v>367</v>
      </c>
      <c r="B108" s="32" t="s">
        <v>370</v>
      </c>
      <c r="C108" s="7">
        <v>0</v>
      </c>
      <c r="D108" s="7">
        <v>10</v>
      </c>
      <c r="E108" s="7"/>
      <c r="F108" s="7"/>
      <c r="G108" s="74" t="e">
        <f t="shared" si="18"/>
        <v>#DIV/0!</v>
      </c>
      <c r="H108" s="7">
        <f t="shared" si="19"/>
        <v>0</v>
      </c>
      <c r="I108" s="7">
        <f t="shared" si="20"/>
        <v>0</v>
      </c>
      <c r="J108" s="16">
        <v>594</v>
      </c>
    </row>
    <row r="109" spans="1:10">
      <c r="A109" s="28" t="s">
        <v>367</v>
      </c>
      <c r="B109" s="32" t="s">
        <v>371</v>
      </c>
      <c r="C109" s="7">
        <v>0</v>
      </c>
      <c r="D109" s="7">
        <v>10</v>
      </c>
      <c r="E109" s="7"/>
      <c r="F109" s="7"/>
      <c r="G109" s="74" t="e">
        <f t="shared" si="18"/>
        <v>#DIV/0!</v>
      </c>
      <c r="H109" s="7">
        <f t="shared" si="19"/>
        <v>0</v>
      </c>
      <c r="I109" s="7">
        <f t="shared" si="20"/>
        <v>0</v>
      </c>
      <c r="J109" s="16">
        <v>594</v>
      </c>
    </row>
    <row r="110" spans="1:10">
      <c r="A110" s="28" t="s">
        <v>367</v>
      </c>
      <c r="B110" s="32" t="s">
        <v>372</v>
      </c>
      <c r="C110" s="7">
        <v>0</v>
      </c>
      <c r="D110" s="7">
        <v>10</v>
      </c>
      <c r="E110" s="7"/>
      <c r="F110" s="7"/>
      <c r="G110" s="74" t="e">
        <f t="shared" si="18"/>
        <v>#DIV/0!</v>
      </c>
      <c r="H110" s="7">
        <f t="shared" si="19"/>
        <v>0</v>
      </c>
      <c r="I110" s="7">
        <f t="shared" si="20"/>
        <v>0</v>
      </c>
      <c r="J110" s="16">
        <v>594</v>
      </c>
    </row>
    <row r="111" spans="1:10">
      <c r="A111" s="28" t="s">
        <v>367</v>
      </c>
      <c r="B111" s="32" t="s">
        <v>373</v>
      </c>
      <c r="C111" s="7">
        <v>0</v>
      </c>
      <c r="D111" s="7">
        <v>10</v>
      </c>
      <c r="E111" s="7"/>
      <c r="F111" s="7"/>
      <c r="G111" s="74" t="e">
        <f t="shared" si="18"/>
        <v>#DIV/0!</v>
      </c>
      <c r="H111" s="7">
        <f t="shared" si="19"/>
        <v>0</v>
      </c>
      <c r="I111" s="7">
        <f t="shared" si="20"/>
        <v>0</v>
      </c>
      <c r="J111" s="16"/>
    </row>
    <row r="112" spans="1:10">
      <c r="A112" s="28" t="s">
        <v>367</v>
      </c>
      <c r="B112" s="32" t="s">
        <v>374</v>
      </c>
      <c r="C112" s="7">
        <v>0</v>
      </c>
      <c r="D112" s="7">
        <v>10</v>
      </c>
      <c r="E112" s="7"/>
      <c r="F112" s="7"/>
      <c r="G112" s="74" t="e">
        <f t="shared" si="18"/>
        <v>#DIV/0!</v>
      </c>
      <c r="H112" s="7">
        <f t="shared" si="19"/>
        <v>0</v>
      </c>
      <c r="I112" s="7">
        <f t="shared" si="20"/>
        <v>0</v>
      </c>
      <c r="J112" s="7"/>
    </row>
    <row r="113" spans="1:10">
      <c r="A113" s="28" t="s">
        <v>382</v>
      </c>
      <c r="B113" s="32" t="s">
        <v>621</v>
      </c>
      <c r="C113" s="7">
        <v>0</v>
      </c>
      <c r="D113" s="7">
        <v>10</v>
      </c>
      <c r="E113" s="7">
        <v>6.5</v>
      </c>
      <c r="F113" s="7">
        <v>10</v>
      </c>
      <c r="G113" s="74">
        <f t="shared" si="18"/>
        <v>35</v>
      </c>
      <c r="H113" s="7">
        <f t="shared" si="19"/>
        <v>0</v>
      </c>
      <c r="I113" s="7">
        <f t="shared" si="20"/>
        <v>0</v>
      </c>
      <c r="J113" s="16">
        <v>414</v>
      </c>
    </row>
    <row r="114" spans="1:10">
      <c r="A114" s="28" t="s">
        <v>382</v>
      </c>
      <c r="B114" s="32" t="s">
        <v>388</v>
      </c>
      <c r="C114" s="7">
        <v>10</v>
      </c>
      <c r="D114" s="7">
        <v>20</v>
      </c>
      <c r="E114" s="7">
        <v>2</v>
      </c>
      <c r="F114" s="7">
        <v>5</v>
      </c>
      <c r="G114" s="74">
        <f t="shared" si="18"/>
        <v>60</v>
      </c>
      <c r="H114" s="7">
        <f t="shared" si="19"/>
        <v>20</v>
      </c>
      <c r="I114" s="7">
        <f t="shared" si="20"/>
        <v>50</v>
      </c>
      <c r="J114" s="16">
        <v>414</v>
      </c>
    </row>
    <row r="115" spans="1:10">
      <c r="A115" s="28" t="s">
        <v>382</v>
      </c>
      <c r="B115" s="32" t="s">
        <v>690</v>
      </c>
      <c r="C115" s="7">
        <v>8</v>
      </c>
      <c r="D115" s="7">
        <v>10</v>
      </c>
      <c r="E115" s="7">
        <v>17</v>
      </c>
      <c r="F115" s="7">
        <v>30</v>
      </c>
      <c r="G115" s="74">
        <f t="shared" si="18"/>
        <v>43.333333333333336</v>
      </c>
      <c r="H115" s="7">
        <f t="shared" si="19"/>
        <v>136</v>
      </c>
      <c r="I115" s="7">
        <f t="shared" si="20"/>
        <v>240</v>
      </c>
      <c r="J115" s="16">
        <v>414</v>
      </c>
    </row>
    <row r="116" spans="1:10">
      <c r="A116" s="42" t="s">
        <v>543</v>
      </c>
      <c r="B116" s="32" t="s">
        <v>390</v>
      </c>
      <c r="C116" s="7">
        <v>3</v>
      </c>
      <c r="D116" s="7">
        <v>10</v>
      </c>
      <c r="E116" s="7">
        <v>105</v>
      </c>
      <c r="F116" s="7">
        <v>140</v>
      </c>
      <c r="G116" s="74">
        <f t="shared" si="18"/>
        <v>25</v>
      </c>
      <c r="H116" s="7">
        <f t="shared" si="19"/>
        <v>315</v>
      </c>
      <c r="I116" s="7">
        <f t="shared" si="20"/>
        <v>420</v>
      </c>
      <c r="J116" s="7">
        <v>50</v>
      </c>
    </row>
    <row r="117" spans="1:10">
      <c r="A117" s="42" t="s">
        <v>543</v>
      </c>
      <c r="B117" s="32" t="s">
        <v>403</v>
      </c>
      <c r="C117" s="7">
        <v>6</v>
      </c>
      <c r="D117" s="7">
        <v>10</v>
      </c>
      <c r="E117" s="7">
        <v>10</v>
      </c>
      <c r="F117" s="7">
        <v>20</v>
      </c>
      <c r="G117" s="74">
        <f t="shared" si="18"/>
        <v>50</v>
      </c>
      <c r="H117" s="7">
        <f t="shared" si="19"/>
        <v>60</v>
      </c>
      <c r="I117" s="7">
        <f t="shared" si="20"/>
        <v>120</v>
      </c>
      <c r="J117" s="16">
        <v>594</v>
      </c>
    </row>
    <row r="118" spans="1:10">
      <c r="A118" s="42" t="s">
        <v>543</v>
      </c>
      <c r="B118" s="32" t="s">
        <v>404</v>
      </c>
      <c r="C118" s="7">
        <v>0</v>
      </c>
      <c r="D118" s="7">
        <v>50</v>
      </c>
      <c r="E118" s="7">
        <v>5</v>
      </c>
      <c r="F118" s="7">
        <v>10</v>
      </c>
      <c r="G118" s="74">
        <f t="shared" si="18"/>
        <v>50</v>
      </c>
      <c r="H118" s="7">
        <f t="shared" si="19"/>
        <v>0</v>
      </c>
      <c r="I118" s="7">
        <f t="shared" si="20"/>
        <v>0</v>
      </c>
      <c r="J118" s="16">
        <v>644</v>
      </c>
    </row>
    <row r="119" spans="1:10">
      <c r="A119" s="42" t="s">
        <v>543</v>
      </c>
      <c r="B119" s="32" t="s">
        <v>616</v>
      </c>
      <c r="C119" s="7">
        <v>4</v>
      </c>
      <c r="D119" s="7">
        <v>10</v>
      </c>
      <c r="E119" s="7">
        <v>190</v>
      </c>
      <c r="F119" s="7">
        <v>300</v>
      </c>
      <c r="G119" s="74">
        <f t="shared" si="18"/>
        <v>36.666666666666671</v>
      </c>
      <c r="H119" s="7">
        <f t="shared" si="19"/>
        <v>760</v>
      </c>
      <c r="I119" s="7">
        <f t="shared" si="20"/>
        <v>1200</v>
      </c>
      <c r="J119" s="7" t="s">
        <v>691</v>
      </c>
    </row>
    <row r="120" spans="1:10">
      <c r="A120" s="42" t="s">
        <v>543</v>
      </c>
      <c r="B120" s="32" t="s">
        <v>617</v>
      </c>
      <c r="C120" s="7">
        <v>0</v>
      </c>
      <c r="D120" s="7">
        <v>5</v>
      </c>
      <c r="E120" s="7"/>
      <c r="F120" s="7"/>
      <c r="G120" s="74" t="e">
        <f t="shared" si="18"/>
        <v>#DIV/0!</v>
      </c>
      <c r="H120" s="7">
        <f t="shared" si="19"/>
        <v>0</v>
      </c>
      <c r="I120" s="7">
        <f t="shared" si="20"/>
        <v>0</v>
      </c>
      <c r="J120" s="7">
        <v>594</v>
      </c>
    </row>
    <row r="121" spans="1:10">
      <c r="A121" s="42" t="s">
        <v>543</v>
      </c>
      <c r="B121" s="32" t="s">
        <v>407</v>
      </c>
      <c r="C121" s="7">
        <v>0</v>
      </c>
      <c r="D121" s="7">
        <v>10</v>
      </c>
      <c r="E121" s="7">
        <v>3</v>
      </c>
      <c r="F121" s="7">
        <v>10</v>
      </c>
      <c r="G121" s="74">
        <f t="shared" si="18"/>
        <v>70</v>
      </c>
      <c r="H121" s="7">
        <f t="shared" si="19"/>
        <v>0</v>
      </c>
      <c r="I121" s="7">
        <f t="shared" si="20"/>
        <v>0</v>
      </c>
      <c r="J121" s="7"/>
    </row>
    <row r="122" spans="1:10">
      <c r="A122" s="42" t="s">
        <v>543</v>
      </c>
      <c r="B122" s="32" t="s">
        <v>408</v>
      </c>
      <c r="C122" s="7">
        <v>9</v>
      </c>
      <c r="D122" s="7">
        <v>10</v>
      </c>
      <c r="E122" s="7">
        <v>10</v>
      </c>
      <c r="F122" s="7">
        <v>20</v>
      </c>
      <c r="G122" s="74">
        <f t="shared" si="18"/>
        <v>50</v>
      </c>
      <c r="H122" s="7">
        <f t="shared" si="19"/>
        <v>90</v>
      </c>
      <c r="I122" s="7">
        <f t="shared" si="20"/>
        <v>180</v>
      </c>
      <c r="J122" s="7"/>
    </row>
    <row r="123" spans="1:10">
      <c r="A123" s="42" t="s">
        <v>543</v>
      </c>
      <c r="B123" s="32" t="s">
        <v>409</v>
      </c>
      <c r="C123" s="7">
        <v>18</v>
      </c>
      <c r="D123" s="7">
        <v>20</v>
      </c>
      <c r="E123" s="7">
        <v>50</v>
      </c>
      <c r="F123" s="7">
        <v>70</v>
      </c>
      <c r="G123" s="74">
        <f t="shared" si="18"/>
        <v>28.571428571428569</v>
      </c>
      <c r="H123" s="7">
        <f t="shared" si="19"/>
        <v>900</v>
      </c>
      <c r="I123" s="7">
        <f t="shared" si="20"/>
        <v>1260</v>
      </c>
      <c r="J123" s="16">
        <v>644</v>
      </c>
    </row>
    <row r="124" spans="1:10">
      <c r="A124" s="42" t="s">
        <v>543</v>
      </c>
      <c r="B124" s="32" t="s">
        <v>410</v>
      </c>
      <c r="C124" s="7">
        <v>4</v>
      </c>
      <c r="D124" s="7">
        <v>10</v>
      </c>
      <c r="E124" s="7">
        <v>30</v>
      </c>
      <c r="F124" s="7">
        <v>40</v>
      </c>
      <c r="G124" s="74">
        <f t="shared" si="18"/>
        <v>25</v>
      </c>
      <c r="H124" s="7">
        <f t="shared" si="19"/>
        <v>120</v>
      </c>
      <c r="I124" s="7">
        <f t="shared" si="20"/>
        <v>160</v>
      </c>
      <c r="J124" s="16">
        <v>594</v>
      </c>
    </row>
    <row r="125" spans="1:10">
      <c r="A125" s="42" t="s">
        <v>543</v>
      </c>
      <c r="B125" s="32" t="s">
        <v>411</v>
      </c>
      <c r="C125" s="7">
        <v>0</v>
      </c>
      <c r="D125" s="7">
        <v>10</v>
      </c>
      <c r="E125" s="7">
        <v>5</v>
      </c>
      <c r="F125" s="7">
        <v>10</v>
      </c>
      <c r="G125" s="74">
        <f t="shared" si="18"/>
        <v>50</v>
      </c>
      <c r="H125" s="7">
        <f t="shared" si="19"/>
        <v>0</v>
      </c>
      <c r="I125" s="7">
        <f t="shared" si="20"/>
        <v>0</v>
      </c>
      <c r="J125" s="16">
        <v>472</v>
      </c>
    </row>
    <row r="126" spans="1:10">
      <c r="A126" s="42" t="s">
        <v>543</v>
      </c>
      <c r="B126" s="32" t="s">
        <v>415</v>
      </c>
      <c r="C126" s="7">
        <v>4</v>
      </c>
      <c r="D126" s="7">
        <v>10</v>
      </c>
      <c r="E126" s="7">
        <v>5</v>
      </c>
      <c r="F126" s="7">
        <v>10</v>
      </c>
      <c r="G126" s="74">
        <f t="shared" si="18"/>
        <v>50</v>
      </c>
      <c r="H126" s="7">
        <f t="shared" si="19"/>
        <v>20</v>
      </c>
      <c r="I126" s="7">
        <f t="shared" si="20"/>
        <v>40</v>
      </c>
      <c r="J126" s="16">
        <v>472</v>
      </c>
    </row>
    <row r="127" spans="1:10">
      <c r="A127" s="42" t="s">
        <v>543</v>
      </c>
      <c r="B127" s="33" t="s">
        <v>464</v>
      </c>
      <c r="C127" s="7">
        <v>20</v>
      </c>
      <c r="D127" s="7">
        <v>100</v>
      </c>
      <c r="E127" s="7">
        <v>0.5</v>
      </c>
      <c r="F127" s="7">
        <v>1</v>
      </c>
      <c r="G127" s="74">
        <f t="shared" si="18"/>
        <v>50</v>
      </c>
      <c r="H127" s="7">
        <f t="shared" si="19"/>
        <v>10</v>
      </c>
      <c r="I127" s="7">
        <f t="shared" si="20"/>
        <v>20</v>
      </c>
      <c r="J127" s="7"/>
    </row>
    <row r="128" spans="1:10">
      <c r="A128" s="42" t="s">
        <v>543</v>
      </c>
      <c r="B128" s="32" t="s">
        <v>443</v>
      </c>
      <c r="C128" s="7">
        <v>5</v>
      </c>
      <c r="D128" s="7">
        <v>10</v>
      </c>
      <c r="E128" s="7">
        <v>10</v>
      </c>
      <c r="F128" s="7">
        <v>20</v>
      </c>
      <c r="G128" s="74">
        <f t="shared" si="18"/>
        <v>50</v>
      </c>
      <c r="H128" s="7">
        <f t="shared" si="19"/>
        <v>50</v>
      </c>
      <c r="I128" s="7">
        <f t="shared" si="20"/>
        <v>100</v>
      </c>
      <c r="J128" s="16">
        <v>644</v>
      </c>
    </row>
    <row r="129" spans="1:10">
      <c r="A129" s="42" t="s">
        <v>543</v>
      </c>
      <c r="B129" s="32" t="s">
        <v>444</v>
      </c>
      <c r="C129" s="7">
        <v>0</v>
      </c>
      <c r="D129" s="7">
        <v>10</v>
      </c>
      <c r="E129" s="7">
        <v>5</v>
      </c>
      <c r="F129" s="7">
        <v>10</v>
      </c>
      <c r="G129" s="74">
        <f t="shared" si="18"/>
        <v>50</v>
      </c>
      <c r="H129" s="7">
        <f t="shared" si="19"/>
        <v>0</v>
      </c>
      <c r="I129" s="7">
        <f t="shared" si="20"/>
        <v>0</v>
      </c>
      <c r="J129" s="7"/>
    </row>
    <row r="130" spans="1:10">
      <c r="A130" s="42" t="s">
        <v>543</v>
      </c>
      <c r="B130" s="32" t="s">
        <v>446</v>
      </c>
      <c r="C130" s="7">
        <v>4</v>
      </c>
      <c r="D130" s="7">
        <v>10</v>
      </c>
      <c r="E130" s="7">
        <v>60</v>
      </c>
      <c r="F130" s="7">
        <v>90</v>
      </c>
      <c r="G130" s="74">
        <f t="shared" si="18"/>
        <v>33.333333333333343</v>
      </c>
      <c r="H130" s="7">
        <f t="shared" si="19"/>
        <v>240</v>
      </c>
      <c r="I130" s="7">
        <f t="shared" si="20"/>
        <v>360</v>
      </c>
      <c r="J130" s="16">
        <v>644</v>
      </c>
    </row>
    <row r="131" spans="1:10">
      <c r="A131" s="42" t="s">
        <v>543</v>
      </c>
      <c r="B131" s="33" t="s">
        <v>489</v>
      </c>
      <c r="C131" s="16">
        <v>8</v>
      </c>
      <c r="D131" s="7">
        <v>10</v>
      </c>
      <c r="E131" s="7">
        <v>20</v>
      </c>
      <c r="F131" s="7">
        <v>30</v>
      </c>
      <c r="G131" s="74">
        <f t="shared" si="18"/>
        <v>33.333333333333343</v>
      </c>
      <c r="H131" s="7">
        <f t="shared" si="19"/>
        <v>160</v>
      </c>
      <c r="I131" s="7">
        <f t="shared" si="20"/>
        <v>240</v>
      </c>
      <c r="J131" s="16">
        <v>644</v>
      </c>
    </row>
    <row r="132" spans="1:10">
      <c r="A132" s="42" t="s">
        <v>543</v>
      </c>
      <c r="B132" s="32" t="s">
        <v>450</v>
      </c>
      <c r="C132" s="16">
        <v>1</v>
      </c>
      <c r="D132" s="7">
        <v>10</v>
      </c>
      <c r="E132" s="7"/>
      <c r="F132" s="7"/>
      <c r="G132" s="74" t="e">
        <f t="shared" si="18"/>
        <v>#DIV/0!</v>
      </c>
      <c r="H132" s="7">
        <f t="shared" si="19"/>
        <v>0</v>
      </c>
      <c r="I132" s="7">
        <f t="shared" si="20"/>
        <v>0</v>
      </c>
      <c r="J132" s="16">
        <v>644</v>
      </c>
    </row>
    <row r="133" spans="1:10">
      <c r="A133" s="42" t="s">
        <v>543</v>
      </c>
      <c r="B133" s="32" t="s">
        <v>452</v>
      </c>
      <c r="C133" s="16">
        <v>3</v>
      </c>
      <c r="D133" s="7">
        <v>5</v>
      </c>
      <c r="E133" s="7">
        <v>150</v>
      </c>
      <c r="F133" s="7">
        <v>220</v>
      </c>
      <c r="G133" s="74">
        <f t="shared" si="18"/>
        <v>31.818181818181827</v>
      </c>
      <c r="H133" s="7">
        <f t="shared" si="19"/>
        <v>450</v>
      </c>
      <c r="I133" s="7">
        <f t="shared" si="20"/>
        <v>660</v>
      </c>
      <c r="J133" s="7"/>
    </row>
    <row r="134" spans="1:10">
      <c r="A134" s="42" t="s">
        <v>543</v>
      </c>
      <c r="B134" s="32" t="s">
        <v>453</v>
      </c>
      <c r="C134" s="16">
        <v>6</v>
      </c>
      <c r="D134" s="7">
        <v>10</v>
      </c>
      <c r="E134" s="7">
        <v>7</v>
      </c>
      <c r="F134" s="7">
        <v>15</v>
      </c>
      <c r="G134" s="74">
        <f t="shared" si="18"/>
        <v>53.333333333333336</v>
      </c>
      <c r="H134" s="7">
        <f t="shared" si="19"/>
        <v>42</v>
      </c>
      <c r="I134" s="7">
        <f t="shared" si="20"/>
        <v>90</v>
      </c>
      <c r="J134" s="7"/>
    </row>
    <row r="135" spans="1:10">
      <c r="A135" s="42" t="s">
        <v>543</v>
      </c>
      <c r="B135" s="33" t="s">
        <v>455</v>
      </c>
      <c r="C135" s="16">
        <v>0</v>
      </c>
      <c r="D135" s="7">
        <v>10</v>
      </c>
      <c r="E135" s="7"/>
      <c r="F135" s="7"/>
      <c r="G135" s="74" t="e">
        <f t="shared" si="18"/>
        <v>#DIV/0!</v>
      </c>
      <c r="H135" s="7">
        <f t="shared" si="19"/>
        <v>0</v>
      </c>
      <c r="I135" s="7">
        <f t="shared" si="20"/>
        <v>0</v>
      </c>
      <c r="J135" s="7"/>
    </row>
    <row r="136" spans="1:10">
      <c r="A136" s="42" t="s">
        <v>543</v>
      </c>
      <c r="B136" s="33" t="s">
        <v>456</v>
      </c>
      <c r="C136" s="16">
        <v>0</v>
      </c>
      <c r="D136" s="7">
        <v>10</v>
      </c>
      <c r="E136" s="7">
        <v>70</v>
      </c>
      <c r="F136" s="7">
        <v>100</v>
      </c>
      <c r="G136" s="74">
        <f t="shared" si="18"/>
        <v>30</v>
      </c>
      <c r="H136" s="7">
        <f t="shared" si="19"/>
        <v>0</v>
      </c>
      <c r="I136" s="7">
        <f t="shared" si="20"/>
        <v>0</v>
      </c>
      <c r="J136" s="7"/>
    </row>
    <row r="137" spans="1:10">
      <c r="A137" s="42" t="s">
        <v>543</v>
      </c>
      <c r="B137" s="33" t="s">
        <v>465</v>
      </c>
      <c r="C137" s="16">
        <v>1</v>
      </c>
      <c r="D137" s="7">
        <v>10</v>
      </c>
      <c r="E137" s="7">
        <v>35</v>
      </c>
      <c r="F137" s="7">
        <v>50</v>
      </c>
      <c r="G137" s="74">
        <f t="shared" si="18"/>
        <v>30</v>
      </c>
      <c r="H137" s="7">
        <f t="shared" si="19"/>
        <v>35</v>
      </c>
      <c r="I137" s="7">
        <f t="shared" si="20"/>
        <v>50</v>
      </c>
      <c r="J137" s="7"/>
    </row>
    <row r="138" spans="1:10">
      <c r="A138" s="42" t="s">
        <v>543</v>
      </c>
      <c r="B138" s="33" t="s">
        <v>457</v>
      </c>
      <c r="C138" s="16">
        <v>0</v>
      </c>
      <c r="D138" s="7">
        <v>10</v>
      </c>
      <c r="E138" s="7"/>
      <c r="F138" s="7"/>
      <c r="G138" s="74" t="e">
        <f t="shared" si="18"/>
        <v>#DIV/0!</v>
      </c>
      <c r="H138" s="7">
        <f t="shared" si="19"/>
        <v>0</v>
      </c>
      <c r="I138" s="7">
        <f t="shared" si="20"/>
        <v>0</v>
      </c>
      <c r="J138" s="7"/>
    </row>
    <row r="139" spans="1:10">
      <c r="A139" s="42" t="s">
        <v>543</v>
      </c>
      <c r="B139" s="33" t="s">
        <v>458</v>
      </c>
      <c r="C139" s="16">
        <v>8</v>
      </c>
      <c r="D139" s="7">
        <v>10</v>
      </c>
      <c r="E139" s="7">
        <v>7</v>
      </c>
      <c r="F139" s="7">
        <v>10</v>
      </c>
      <c r="G139" s="74">
        <f t="shared" si="18"/>
        <v>30</v>
      </c>
      <c r="H139" s="7">
        <f t="shared" si="19"/>
        <v>56</v>
      </c>
      <c r="I139" s="7">
        <f t="shared" si="20"/>
        <v>80</v>
      </c>
      <c r="J139" s="7"/>
    </row>
    <row r="140" spans="1:10">
      <c r="A140" s="42" t="s">
        <v>543</v>
      </c>
      <c r="B140" s="33" t="s">
        <v>459</v>
      </c>
      <c r="C140" s="16">
        <v>0</v>
      </c>
      <c r="D140" s="7">
        <v>10</v>
      </c>
      <c r="E140" s="7"/>
      <c r="F140" s="7"/>
      <c r="G140" s="74" t="e">
        <f t="shared" si="18"/>
        <v>#DIV/0!</v>
      </c>
      <c r="H140" s="7">
        <f t="shared" si="19"/>
        <v>0</v>
      </c>
      <c r="I140" s="7">
        <f t="shared" si="20"/>
        <v>0</v>
      </c>
      <c r="J140" s="7"/>
    </row>
    <row r="141" spans="1:10">
      <c r="A141" s="42" t="s">
        <v>543</v>
      </c>
      <c r="B141" s="33" t="s">
        <v>460</v>
      </c>
      <c r="C141" s="16">
        <v>0</v>
      </c>
      <c r="D141" s="7">
        <v>10</v>
      </c>
      <c r="E141" s="7"/>
      <c r="F141" s="7"/>
      <c r="G141" s="74" t="e">
        <f t="shared" si="18"/>
        <v>#DIV/0!</v>
      </c>
      <c r="H141" s="7">
        <f t="shared" si="19"/>
        <v>0</v>
      </c>
      <c r="I141" s="7">
        <f t="shared" si="20"/>
        <v>0</v>
      </c>
      <c r="J141" s="7"/>
    </row>
    <row r="142" spans="1:10">
      <c r="A142" s="42" t="s">
        <v>543</v>
      </c>
      <c r="B142" s="33" t="s">
        <v>461</v>
      </c>
      <c r="C142" s="16">
        <v>0</v>
      </c>
      <c r="D142" s="7">
        <v>10</v>
      </c>
      <c r="E142" s="7"/>
      <c r="F142" s="7"/>
      <c r="G142" s="74" t="e">
        <f t="shared" si="18"/>
        <v>#DIV/0!</v>
      </c>
      <c r="H142" s="7">
        <f t="shared" si="19"/>
        <v>0</v>
      </c>
      <c r="I142" s="7">
        <f t="shared" si="20"/>
        <v>0</v>
      </c>
      <c r="J142" s="7"/>
    </row>
    <row r="143" spans="1:10">
      <c r="A143" s="42" t="s">
        <v>543</v>
      </c>
      <c r="B143" s="33" t="s">
        <v>462</v>
      </c>
      <c r="C143" s="16">
        <v>2</v>
      </c>
      <c r="D143" s="7">
        <v>10</v>
      </c>
      <c r="E143" s="7">
        <v>5</v>
      </c>
      <c r="F143" s="7">
        <v>10</v>
      </c>
      <c r="G143" s="74">
        <f t="shared" si="18"/>
        <v>50</v>
      </c>
      <c r="H143" s="7">
        <f t="shared" si="19"/>
        <v>10</v>
      </c>
      <c r="I143" s="7">
        <f t="shared" si="20"/>
        <v>20</v>
      </c>
      <c r="J143" s="7"/>
    </row>
    <row r="144" spans="1:10">
      <c r="A144" s="42" t="s">
        <v>543</v>
      </c>
      <c r="B144" s="33" t="s">
        <v>463</v>
      </c>
      <c r="C144" s="16">
        <v>0</v>
      </c>
      <c r="D144" s="7">
        <v>10</v>
      </c>
      <c r="E144" s="7"/>
      <c r="F144" s="7"/>
      <c r="G144" s="74" t="e">
        <f t="shared" si="18"/>
        <v>#DIV/0!</v>
      </c>
      <c r="H144" s="7">
        <f t="shared" si="19"/>
        <v>0</v>
      </c>
      <c r="I144" s="7">
        <f t="shared" si="20"/>
        <v>0</v>
      </c>
      <c r="J144" s="7"/>
    </row>
    <row r="145" spans="1:10">
      <c r="A145" s="42" t="s">
        <v>543</v>
      </c>
      <c r="B145" s="33" t="s">
        <v>642</v>
      </c>
      <c r="C145" s="16">
        <v>2</v>
      </c>
      <c r="D145" s="7">
        <v>3</v>
      </c>
      <c r="E145" s="7">
        <v>60</v>
      </c>
      <c r="F145" s="7">
        <v>100</v>
      </c>
      <c r="G145" s="74">
        <f t="shared" si="18"/>
        <v>40</v>
      </c>
      <c r="H145" s="7">
        <f t="shared" si="19"/>
        <v>120</v>
      </c>
      <c r="I145" s="7">
        <f t="shared" si="20"/>
        <v>200</v>
      </c>
      <c r="J145" s="7"/>
    </row>
    <row r="146" spans="1:10">
      <c r="A146" s="28" t="s">
        <v>393</v>
      </c>
      <c r="B146" s="32" t="s">
        <v>395</v>
      </c>
      <c r="C146" s="7">
        <v>6</v>
      </c>
      <c r="D146" s="7">
        <v>10</v>
      </c>
      <c r="E146" s="7">
        <v>30</v>
      </c>
      <c r="F146" s="7">
        <v>40</v>
      </c>
      <c r="G146" s="74">
        <f t="shared" si="18"/>
        <v>25</v>
      </c>
      <c r="H146" s="7">
        <f t="shared" si="19"/>
        <v>180</v>
      </c>
      <c r="I146" s="7">
        <f t="shared" si="20"/>
        <v>240</v>
      </c>
      <c r="J146" s="16">
        <v>594</v>
      </c>
    </row>
    <row r="147" spans="1:10">
      <c r="A147" s="28" t="s">
        <v>393</v>
      </c>
      <c r="B147" s="32" t="s">
        <v>396</v>
      </c>
      <c r="C147" s="7">
        <v>8</v>
      </c>
      <c r="D147" s="7">
        <v>10</v>
      </c>
      <c r="E147" s="7">
        <v>30</v>
      </c>
      <c r="F147" s="7">
        <v>40</v>
      </c>
      <c r="G147" s="74">
        <f t="shared" si="18"/>
        <v>25</v>
      </c>
      <c r="H147" s="7">
        <f t="shared" si="19"/>
        <v>240</v>
      </c>
      <c r="I147" s="7">
        <f t="shared" si="20"/>
        <v>320</v>
      </c>
      <c r="J147" s="16">
        <v>594</v>
      </c>
    </row>
    <row r="148" spans="1:10">
      <c r="A148" s="28" t="s">
        <v>393</v>
      </c>
      <c r="B148" s="32" t="s">
        <v>397</v>
      </c>
      <c r="C148" s="7">
        <v>0</v>
      </c>
      <c r="D148" s="7">
        <v>10</v>
      </c>
      <c r="E148" s="7"/>
      <c r="F148" s="7"/>
      <c r="G148" s="74" t="e">
        <f t="shared" si="18"/>
        <v>#DIV/0!</v>
      </c>
      <c r="H148" s="7">
        <f t="shared" si="19"/>
        <v>0</v>
      </c>
      <c r="I148" s="7">
        <f t="shared" si="20"/>
        <v>0</v>
      </c>
      <c r="J148" s="16">
        <v>594</v>
      </c>
    </row>
    <row r="149" spans="1:10">
      <c r="A149" s="28" t="s">
        <v>393</v>
      </c>
      <c r="B149" s="32" t="s">
        <v>398</v>
      </c>
      <c r="C149" s="7">
        <v>2</v>
      </c>
      <c r="D149" s="7">
        <v>10</v>
      </c>
      <c r="E149" s="7">
        <v>90</v>
      </c>
      <c r="F149" s="7">
        <v>150</v>
      </c>
      <c r="G149" s="74">
        <f t="shared" si="18"/>
        <v>40</v>
      </c>
      <c r="H149" s="7">
        <f t="shared" si="19"/>
        <v>180</v>
      </c>
      <c r="I149" s="7">
        <f t="shared" si="20"/>
        <v>300</v>
      </c>
      <c r="J149" s="16">
        <v>594</v>
      </c>
    </row>
    <row r="150" spans="1:10">
      <c r="A150" s="28" t="s">
        <v>393</v>
      </c>
      <c r="B150" s="32" t="s">
        <v>399</v>
      </c>
      <c r="C150" s="7">
        <v>0</v>
      </c>
      <c r="D150" s="7">
        <v>10</v>
      </c>
      <c r="E150" s="7"/>
      <c r="F150" s="7"/>
      <c r="G150" s="74" t="e">
        <f t="shared" si="18"/>
        <v>#DIV/0!</v>
      </c>
      <c r="H150" s="7">
        <f t="shared" si="19"/>
        <v>0</v>
      </c>
      <c r="I150" s="7">
        <f t="shared" si="20"/>
        <v>0</v>
      </c>
      <c r="J150" s="16">
        <v>594</v>
      </c>
    </row>
    <row r="151" spans="1:10">
      <c r="A151" s="28" t="s">
        <v>342</v>
      </c>
      <c r="B151" s="32" t="s">
        <v>400</v>
      </c>
      <c r="C151" s="7">
        <v>0</v>
      </c>
      <c r="D151" s="7">
        <v>10</v>
      </c>
      <c r="E151" s="7">
        <v>10</v>
      </c>
      <c r="F151" s="7">
        <v>20</v>
      </c>
      <c r="G151" s="74">
        <f t="shared" si="18"/>
        <v>50</v>
      </c>
      <c r="H151" s="7">
        <f t="shared" si="19"/>
        <v>0</v>
      </c>
      <c r="I151" s="7">
        <f t="shared" si="20"/>
        <v>0</v>
      </c>
      <c r="J151" s="16">
        <v>472</v>
      </c>
    </row>
    <row r="152" spans="1:10">
      <c r="A152" s="28" t="s">
        <v>342</v>
      </c>
      <c r="B152" s="32" t="s">
        <v>401</v>
      </c>
      <c r="C152" s="7">
        <v>0</v>
      </c>
      <c r="D152" s="7">
        <v>10</v>
      </c>
      <c r="E152" s="7">
        <v>15</v>
      </c>
      <c r="F152" s="7">
        <v>30</v>
      </c>
      <c r="G152" s="74">
        <f t="shared" si="18"/>
        <v>50</v>
      </c>
      <c r="H152" s="7">
        <f t="shared" si="19"/>
        <v>0</v>
      </c>
      <c r="I152" s="7">
        <f t="shared" si="20"/>
        <v>0</v>
      </c>
      <c r="J152" s="16">
        <v>472</v>
      </c>
    </row>
    <row r="153" spans="1:10">
      <c r="A153" s="28" t="s">
        <v>342</v>
      </c>
      <c r="B153" s="32" t="s">
        <v>623</v>
      </c>
      <c r="C153" s="7">
        <v>0</v>
      </c>
      <c r="D153" s="7">
        <v>50</v>
      </c>
      <c r="E153" s="7">
        <v>20</v>
      </c>
      <c r="F153" s="7">
        <v>40</v>
      </c>
      <c r="G153" s="74">
        <f t="shared" si="18"/>
        <v>50</v>
      </c>
      <c r="H153" s="7">
        <f t="shared" si="19"/>
        <v>0</v>
      </c>
      <c r="I153" s="7">
        <f t="shared" si="20"/>
        <v>0</v>
      </c>
      <c r="J153" s="16">
        <v>472</v>
      </c>
    </row>
    <row r="154" spans="1:10">
      <c r="A154" s="28" t="s">
        <v>342</v>
      </c>
      <c r="B154" s="32" t="s">
        <v>624</v>
      </c>
      <c r="C154" s="7">
        <v>40</v>
      </c>
      <c r="D154" s="7">
        <v>100</v>
      </c>
      <c r="E154" s="7">
        <v>15</v>
      </c>
      <c r="F154" s="7">
        <v>30</v>
      </c>
      <c r="G154" s="74">
        <f t="shared" si="18"/>
        <v>50</v>
      </c>
      <c r="H154" s="7">
        <f t="shared" si="19"/>
        <v>600</v>
      </c>
      <c r="I154" s="7">
        <f t="shared" si="20"/>
        <v>1200</v>
      </c>
      <c r="J154" s="16">
        <v>644</v>
      </c>
    </row>
    <row r="155" spans="1:10">
      <c r="A155" s="28" t="s">
        <v>342</v>
      </c>
      <c r="B155" s="32" t="s">
        <v>402</v>
      </c>
      <c r="C155" s="7">
        <v>0</v>
      </c>
      <c r="D155" s="7">
        <v>10</v>
      </c>
      <c r="E155" s="7">
        <v>40</v>
      </c>
      <c r="F155" s="7">
        <v>60</v>
      </c>
      <c r="G155" s="74">
        <f t="shared" si="18"/>
        <v>33.333333333333343</v>
      </c>
      <c r="H155" s="7">
        <f t="shared" si="19"/>
        <v>0</v>
      </c>
      <c r="I155" s="7">
        <f t="shared" si="20"/>
        <v>0</v>
      </c>
      <c r="J155" s="16">
        <v>472</v>
      </c>
    </row>
    <row r="156" spans="1:10">
      <c r="A156" s="28" t="s">
        <v>416</v>
      </c>
      <c r="B156" s="32" t="s">
        <v>825</v>
      </c>
      <c r="C156" s="7">
        <v>10</v>
      </c>
      <c r="D156" s="7">
        <v>20</v>
      </c>
      <c r="E156" s="7">
        <v>10</v>
      </c>
      <c r="F156" s="7">
        <v>30</v>
      </c>
      <c r="G156" s="74">
        <f t="shared" ref="G156:G169" si="21">100-((E156/F156)*100)</f>
        <v>66.666666666666671</v>
      </c>
      <c r="H156" s="7">
        <f t="shared" ref="H156:H169" si="22">+E156*C156</f>
        <v>100</v>
      </c>
      <c r="I156" s="7">
        <f t="shared" ref="I156:I169" si="23">+F156*C156</f>
        <v>300</v>
      </c>
      <c r="J156" s="16">
        <v>594</v>
      </c>
    </row>
    <row r="157" spans="1:10">
      <c r="A157" s="28" t="s">
        <v>416</v>
      </c>
      <c r="B157" s="32" t="s">
        <v>418</v>
      </c>
      <c r="C157" s="7">
        <v>15</v>
      </c>
      <c r="D157" s="7">
        <v>20</v>
      </c>
      <c r="E157" s="7">
        <v>10</v>
      </c>
      <c r="F157" s="7">
        <v>30</v>
      </c>
      <c r="G157" s="74">
        <f t="shared" si="21"/>
        <v>66.666666666666671</v>
      </c>
      <c r="H157" s="7">
        <f t="shared" si="22"/>
        <v>150</v>
      </c>
      <c r="I157" s="7">
        <f t="shared" si="23"/>
        <v>450</v>
      </c>
      <c r="J157" s="16">
        <v>594</v>
      </c>
    </row>
    <row r="158" spans="1:10">
      <c r="A158" s="28" t="s">
        <v>420</v>
      </c>
      <c r="B158" s="32" t="s">
        <v>422</v>
      </c>
      <c r="C158" s="7">
        <v>30</v>
      </c>
      <c r="D158" s="7">
        <v>100</v>
      </c>
      <c r="E158" s="7">
        <v>0.3</v>
      </c>
      <c r="F158" s="7">
        <v>1</v>
      </c>
      <c r="G158" s="74">
        <f t="shared" si="21"/>
        <v>70</v>
      </c>
      <c r="H158" s="7">
        <f t="shared" si="22"/>
        <v>9</v>
      </c>
      <c r="I158" s="7">
        <f t="shared" si="23"/>
        <v>30</v>
      </c>
      <c r="J158" s="7"/>
    </row>
    <row r="159" spans="1:10">
      <c r="A159" s="28" t="s">
        <v>420</v>
      </c>
      <c r="B159" s="32" t="s">
        <v>424</v>
      </c>
      <c r="C159" s="7">
        <v>20</v>
      </c>
      <c r="D159" s="7">
        <v>100</v>
      </c>
      <c r="E159" s="7">
        <v>0.3</v>
      </c>
      <c r="F159" s="7">
        <v>1</v>
      </c>
      <c r="G159" s="74">
        <f t="shared" si="21"/>
        <v>70</v>
      </c>
      <c r="H159" s="7">
        <f t="shared" si="22"/>
        <v>6</v>
      </c>
      <c r="I159" s="7">
        <f t="shared" si="23"/>
        <v>20</v>
      </c>
      <c r="J159" s="7"/>
    </row>
    <row r="160" spans="1:10">
      <c r="A160" s="28" t="s">
        <v>420</v>
      </c>
      <c r="B160" s="32" t="s">
        <v>425</v>
      </c>
      <c r="C160" s="7">
        <v>50</v>
      </c>
      <c r="D160" s="7">
        <v>100</v>
      </c>
      <c r="E160" s="7">
        <v>0.3</v>
      </c>
      <c r="F160" s="7">
        <v>1</v>
      </c>
      <c r="G160" s="74">
        <f t="shared" si="21"/>
        <v>70</v>
      </c>
      <c r="H160" s="7">
        <f t="shared" si="22"/>
        <v>15</v>
      </c>
      <c r="I160" s="7">
        <f t="shared" si="23"/>
        <v>50</v>
      </c>
      <c r="J160" s="7"/>
    </row>
    <row r="161" spans="1:10">
      <c r="A161" s="28" t="s">
        <v>420</v>
      </c>
      <c r="B161" s="32" t="s">
        <v>426</v>
      </c>
      <c r="C161" s="7">
        <v>2</v>
      </c>
      <c r="D161" s="7">
        <v>100</v>
      </c>
      <c r="E161" s="7">
        <v>1</v>
      </c>
      <c r="F161" s="7">
        <v>5</v>
      </c>
      <c r="G161" s="74">
        <f t="shared" si="21"/>
        <v>80</v>
      </c>
      <c r="H161" s="7">
        <f t="shared" si="22"/>
        <v>2</v>
      </c>
      <c r="I161" s="7">
        <f t="shared" si="23"/>
        <v>10</v>
      </c>
      <c r="J161" s="7"/>
    </row>
    <row r="162" spans="1:10">
      <c r="A162" s="28" t="s">
        <v>430</v>
      </c>
      <c r="B162" s="32" t="s">
        <v>431</v>
      </c>
      <c r="C162" s="7">
        <v>40</v>
      </c>
      <c r="D162" s="7">
        <v>50</v>
      </c>
      <c r="E162" s="7">
        <v>1</v>
      </c>
      <c r="F162" s="7">
        <v>2</v>
      </c>
      <c r="G162" s="74">
        <f t="shared" si="21"/>
        <v>50</v>
      </c>
      <c r="H162" s="7">
        <f t="shared" si="22"/>
        <v>40</v>
      </c>
      <c r="I162" s="7">
        <f t="shared" si="23"/>
        <v>80</v>
      </c>
      <c r="J162" s="16">
        <v>594</v>
      </c>
    </row>
    <row r="163" spans="1:10">
      <c r="A163" s="28" t="s">
        <v>430</v>
      </c>
      <c r="B163" s="32" t="s">
        <v>432</v>
      </c>
      <c r="C163" s="7">
        <v>0</v>
      </c>
      <c r="D163" s="7">
        <v>20</v>
      </c>
      <c r="E163" s="7">
        <v>2</v>
      </c>
      <c r="F163" s="7">
        <v>5</v>
      </c>
      <c r="G163" s="74">
        <f t="shared" si="21"/>
        <v>60</v>
      </c>
      <c r="H163" s="7">
        <f t="shared" si="22"/>
        <v>0</v>
      </c>
      <c r="I163" s="7">
        <f t="shared" si="23"/>
        <v>0</v>
      </c>
      <c r="J163" s="16">
        <v>594</v>
      </c>
    </row>
    <row r="164" spans="1:10">
      <c r="A164" s="28" t="s">
        <v>430</v>
      </c>
      <c r="B164" s="32" t="s">
        <v>433</v>
      </c>
      <c r="C164" s="7">
        <v>25</v>
      </c>
      <c r="D164" s="7">
        <v>50</v>
      </c>
      <c r="E164" s="7">
        <v>2</v>
      </c>
      <c r="F164" s="7">
        <v>5</v>
      </c>
      <c r="G164" s="74">
        <f t="shared" si="21"/>
        <v>60</v>
      </c>
      <c r="H164" s="7">
        <f t="shared" si="22"/>
        <v>50</v>
      </c>
      <c r="I164" s="7">
        <f t="shared" si="23"/>
        <v>125</v>
      </c>
      <c r="J164" s="16">
        <v>594</v>
      </c>
    </row>
    <row r="165" spans="1:10">
      <c r="A165" s="28" t="s">
        <v>430</v>
      </c>
      <c r="B165" s="32" t="s">
        <v>434</v>
      </c>
      <c r="C165" s="7">
        <v>3</v>
      </c>
      <c r="D165" s="7">
        <v>20</v>
      </c>
      <c r="E165" s="7">
        <v>2</v>
      </c>
      <c r="F165" s="7">
        <v>5</v>
      </c>
      <c r="G165" s="74">
        <f t="shared" si="21"/>
        <v>60</v>
      </c>
      <c r="H165" s="7">
        <f t="shared" si="22"/>
        <v>6</v>
      </c>
      <c r="I165" s="7">
        <f t="shared" si="23"/>
        <v>15</v>
      </c>
      <c r="J165" s="16">
        <v>594</v>
      </c>
    </row>
    <row r="166" spans="1:10">
      <c r="A166" s="28" t="s">
        <v>430</v>
      </c>
      <c r="B166" s="32" t="s">
        <v>435</v>
      </c>
      <c r="C166" s="7">
        <v>0</v>
      </c>
      <c r="D166" s="7">
        <v>50</v>
      </c>
      <c r="E166" s="7">
        <v>2</v>
      </c>
      <c r="F166" s="7">
        <v>5</v>
      </c>
      <c r="G166" s="74">
        <f t="shared" si="21"/>
        <v>60</v>
      </c>
      <c r="H166" s="7">
        <f t="shared" si="22"/>
        <v>0</v>
      </c>
      <c r="I166" s="7">
        <f t="shared" si="23"/>
        <v>0</v>
      </c>
      <c r="J166" s="16">
        <v>594</v>
      </c>
    </row>
    <row r="167" spans="1:10">
      <c r="A167" s="28" t="s">
        <v>430</v>
      </c>
      <c r="B167" s="32" t="s">
        <v>436</v>
      </c>
      <c r="C167" s="7">
        <v>10</v>
      </c>
      <c r="D167" s="7">
        <v>20</v>
      </c>
      <c r="E167" s="7">
        <v>5</v>
      </c>
      <c r="F167" s="7">
        <v>10</v>
      </c>
      <c r="G167" s="74">
        <f t="shared" si="21"/>
        <v>50</v>
      </c>
      <c r="H167" s="7">
        <f t="shared" si="22"/>
        <v>50</v>
      </c>
      <c r="I167" s="7">
        <f t="shared" si="23"/>
        <v>100</v>
      </c>
      <c r="J167" s="16">
        <v>594</v>
      </c>
    </row>
    <row r="168" spans="1:10">
      <c r="A168" s="42" t="s">
        <v>445</v>
      </c>
      <c r="B168" s="34" t="s">
        <v>288</v>
      </c>
      <c r="C168" s="7">
        <v>8</v>
      </c>
      <c r="D168" s="7">
        <v>10</v>
      </c>
      <c r="E168" s="7">
        <v>15</v>
      </c>
      <c r="F168" s="7">
        <v>30</v>
      </c>
      <c r="G168" s="74">
        <f t="shared" si="21"/>
        <v>50</v>
      </c>
      <c r="H168" s="7">
        <f t="shared" si="22"/>
        <v>120</v>
      </c>
      <c r="I168" s="7">
        <f t="shared" si="23"/>
        <v>240</v>
      </c>
      <c r="J168" s="16">
        <v>594</v>
      </c>
    </row>
    <row r="169" spans="1:10">
      <c r="A169" s="42" t="s">
        <v>611</v>
      </c>
      <c r="B169" s="33" t="s">
        <v>448</v>
      </c>
      <c r="C169" s="7">
        <v>2</v>
      </c>
      <c r="D169" s="7">
        <v>10</v>
      </c>
      <c r="E169" s="7">
        <v>35</v>
      </c>
      <c r="F169" s="7">
        <v>60</v>
      </c>
      <c r="G169" s="74">
        <f t="shared" si="21"/>
        <v>41.666666666666664</v>
      </c>
      <c r="H169" s="7">
        <f t="shared" si="22"/>
        <v>70</v>
      </c>
      <c r="I169" s="7">
        <f t="shared" si="23"/>
        <v>120</v>
      </c>
      <c r="J169" s="16">
        <v>644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J83"/>
  <sheetViews>
    <sheetView workbookViewId="0">
      <pane ySplit="1" topLeftCell="A19" activePane="bottomLeft" state="frozen"/>
      <selection pane="bottomLeft" activeCell="E39" sqref="E39"/>
    </sheetView>
  </sheetViews>
  <sheetFormatPr defaultRowHeight="15"/>
  <cols>
    <col min="1" max="1" width="27.42578125" style="37" bestFit="1" customWidth="1"/>
    <col min="2" max="2" width="13.28515625" bestFit="1" customWidth="1"/>
    <col min="3" max="3" width="10.140625" bestFit="1" customWidth="1"/>
    <col min="4" max="4" width="10" bestFit="1" customWidth="1"/>
    <col min="10" max="10" width="8" bestFit="1" customWidth="1"/>
  </cols>
  <sheetData>
    <row r="1" spans="1:10" ht="15.75" thickBot="1">
      <c r="B1" s="31"/>
      <c r="C1" s="19" t="s">
        <v>474</v>
      </c>
      <c r="D1" s="46" t="s">
        <v>539</v>
      </c>
      <c r="E1" s="19" t="s">
        <v>612</v>
      </c>
      <c r="F1" s="49" t="s">
        <v>613</v>
      </c>
      <c r="G1" s="9" t="s">
        <v>641</v>
      </c>
      <c r="H1" s="51" t="s">
        <v>614</v>
      </c>
      <c r="J1" s="51" t="s">
        <v>626</v>
      </c>
    </row>
    <row r="2" spans="1:10">
      <c r="A2" s="28" t="s">
        <v>540</v>
      </c>
      <c r="B2" s="27" t="s">
        <v>544</v>
      </c>
      <c r="C2" s="44">
        <v>500</v>
      </c>
      <c r="D2" s="47">
        <v>150</v>
      </c>
      <c r="E2" s="50">
        <v>0.1</v>
      </c>
      <c r="F2" s="50">
        <v>1</v>
      </c>
      <c r="G2" s="50">
        <f>100-((E2/F2)*100)</f>
        <v>90</v>
      </c>
      <c r="H2" s="7">
        <f>+C2*E2</f>
        <v>50</v>
      </c>
      <c r="I2" s="7">
        <f>+F2*C2</f>
        <v>500</v>
      </c>
      <c r="J2" s="7" t="s">
        <v>627</v>
      </c>
    </row>
    <row r="3" spans="1:10">
      <c r="A3" s="28" t="s">
        <v>540</v>
      </c>
      <c r="B3" s="1" t="s">
        <v>545</v>
      </c>
      <c r="C3" s="29">
        <v>500</v>
      </c>
      <c r="D3" s="48">
        <v>150</v>
      </c>
      <c r="E3" s="50">
        <v>0.1</v>
      </c>
      <c r="F3" s="50">
        <v>1</v>
      </c>
      <c r="G3" s="50">
        <f t="shared" ref="G3:G66" si="0">100-((E3/F3)*100)</f>
        <v>90</v>
      </c>
      <c r="H3" s="7">
        <f t="shared" ref="H3:H66" si="1">+C3*E3</f>
        <v>50</v>
      </c>
      <c r="I3" s="7">
        <f t="shared" ref="I3:I66" si="2">+F3*C3</f>
        <v>500</v>
      </c>
      <c r="J3" s="7" t="s">
        <v>627</v>
      </c>
    </row>
    <row r="4" spans="1:10">
      <c r="A4" s="28" t="s">
        <v>540</v>
      </c>
      <c r="B4" s="1" t="s">
        <v>546</v>
      </c>
      <c r="C4" s="29">
        <v>500</v>
      </c>
      <c r="D4" s="48">
        <v>150</v>
      </c>
      <c r="E4" s="50">
        <v>0.1</v>
      </c>
      <c r="F4" s="50">
        <v>1</v>
      </c>
      <c r="G4" s="50">
        <f t="shared" si="0"/>
        <v>90</v>
      </c>
      <c r="H4" s="7">
        <f t="shared" si="1"/>
        <v>50</v>
      </c>
      <c r="I4" s="7">
        <f t="shared" si="2"/>
        <v>500</v>
      </c>
      <c r="J4" s="7" t="s">
        <v>627</v>
      </c>
    </row>
    <row r="5" spans="1:10">
      <c r="A5" s="28" t="s">
        <v>540</v>
      </c>
      <c r="B5" s="1" t="s">
        <v>547</v>
      </c>
      <c r="C5" s="7">
        <v>500</v>
      </c>
      <c r="D5" s="48">
        <v>150</v>
      </c>
      <c r="E5" s="50">
        <v>0.1</v>
      </c>
      <c r="F5" s="50">
        <v>1</v>
      </c>
      <c r="G5" s="50">
        <f t="shared" si="0"/>
        <v>90</v>
      </c>
      <c r="H5" s="7">
        <f t="shared" si="1"/>
        <v>50</v>
      </c>
      <c r="I5" s="7">
        <f t="shared" si="2"/>
        <v>500</v>
      </c>
      <c r="J5" s="7" t="s">
        <v>627</v>
      </c>
    </row>
    <row r="6" spans="1:10">
      <c r="A6" s="28" t="s">
        <v>540</v>
      </c>
      <c r="B6" s="1" t="s">
        <v>548</v>
      </c>
      <c r="C6" s="7">
        <v>500</v>
      </c>
      <c r="D6" s="48">
        <v>150</v>
      </c>
      <c r="E6" s="50">
        <v>0.1</v>
      </c>
      <c r="F6" s="50">
        <v>1</v>
      </c>
      <c r="G6" s="50">
        <f t="shared" si="0"/>
        <v>90</v>
      </c>
      <c r="H6" s="7">
        <f t="shared" si="1"/>
        <v>50</v>
      </c>
      <c r="I6" s="7">
        <f t="shared" si="2"/>
        <v>500</v>
      </c>
      <c r="J6" s="7" t="s">
        <v>627</v>
      </c>
    </row>
    <row r="7" spans="1:10">
      <c r="A7" s="28" t="s">
        <v>540</v>
      </c>
      <c r="B7" s="1" t="s">
        <v>549</v>
      </c>
      <c r="C7" s="7">
        <v>500</v>
      </c>
      <c r="D7" s="48">
        <v>150</v>
      </c>
      <c r="E7" s="50">
        <v>0.1</v>
      </c>
      <c r="F7" s="50">
        <v>1</v>
      </c>
      <c r="G7" s="50">
        <f t="shared" si="0"/>
        <v>90</v>
      </c>
      <c r="H7" s="7">
        <f t="shared" si="1"/>
        <v>50</v>
      </c>
      <c r="I7" s="7">
        <f t="shared" si="2"/>
        <v>500</v>
      </c>
      <c r="J7" s="7" t="s">
        <v>627</v>
      </c>
    </row>
    <row r="8" spans="1:10">
      <c r="A8" s="28" t="s">
        <v>540</v>
      </c>
      <c r="B8" s="1" t="s">
        <v>550</v>
      </c>
      <c r="C8" s="7">
        <v>500</v>
      </c>
      <c r="D8" s="48">
        <v>150</v>
      </c>
      <c r="E8" s="50">
        <v>0.1</v>
      </c>
      <c r="F8" s="50">
        <v>1</v>
      </c>
      <c r="G8" s="50">
        <f t="shared" si="0"/>
        <v>90</v>
      </c>
      <c r="H8" s="7">
        <f t="shared" si="1"/>
        <v>50</v>
      </c>
      <c r="I8" s="7">
        <f t="shared" si="2"/>
        <v>500</v>
      </c>
      <c r="J8" s="7" t="s">
        <v>627</v>
      </c>
    </row>
    <row r="9" spans="1:10">
      <c r="A9" s="28" t="s">
        <v>540</v>
      </c>
      <c r="B9" s="1" t="s">
        <v>551</v>
      </c>
      <c r="C9" s="7">
        <v>500</v>
      </c>
      <c r="D9" s="48">
        <v>150</v>
      </c>
      <c r="E9" s="50">
        <v>0.1</v>
      </c>
      <c r="F9" s="50">
        <v>1</v>
      </c>
      <c r="G9" s="50">
        <f t="shared" si="0"/>
        <v>90</v>
      </c>
      <c r="H9" s="7">
        <f t="shared" si="1"/>
        <v>50</v>
      </c>
      <c r="I9" s="7">
        <f t="shared" si="2"/>
        <v>500</v>
      </c>
      <c r="J9" s="7" t="s">
        <v>627</v>
      </c>
    </row>
    <row r="10" spans="1:10">
      <c r="A10" s="28" t="s">
        <v>540</v>
      </c>
      <c r="B10" s="1" t="s">
        <v>552</v>
      </c>
      <c r="C10" s="7">
        <v>500</v>
      </c>
      <c r="D10" s="48">
        <v>150</v>
      </c>
      <c r="E10" s="50">
        <v>0.1</v>
      </c>
      <c r="F10" s="50">
        <v>1</v>
      </c>
      <c r="G10" s="50">
        <f t="shared" si="0"/>
        <v>90</v>
      </c>
      <c r="H10" s="7">
        <f t="shared" si="1"/>
        <v>50</v>
      </c>
      <c r="I10" s="7">
        <f t="shared" si="2"/>
        <v>500</v>
      </c>
      <c r="J10" s="7" t="s">
        <v>627</v>
      </c>
    </row>
    <row r="11" spans="1:10">
      <c r="A11" s="28" t="s">
        <v>540</v>
      </c>
      <c r="B11" s="1" t="s">
        <v>553</v>
      </c>
      <c r="C11" s="7">
        <v>500</v>
      </c>
      <c r="D11" s="48">
        <v>150</v>
      </c>
      <c r="E11" s="50">
        <v>0.1</v>
      </c>
      <c r="F11" s="50">
        <v>1</v>
      </c>
      <c r="G11" s="50">
        <f t="shared" si="0"/>
        <v>90</v>
      </c>
      <c r="H11" s="7">
        <f t="shared" si="1"/>
        <v>50</v>
      </c>
      <c r="I11" s="7">
        <f t="shared" si="2"/>
        <v>500</v>
      </c>
      <c r="J11" s="7" t="s">
        <v>627</v>
      </c>
    </row>
    <row r="12" spans="1:10">
      <c r="A12" s="28" t="s">
        <v>540</v>
      </c>
      <c r="B12" s="1" t="s">
        <v>554</v>
      </c>
      <c r="C12" s="7">
        <v>500</v>
      </c>
      <c r="D12" s="48">
        <v>150</v>
      </c>
      <c r="E12" s="50">
        <v>0.1</v>
      </c>
      <c r="F12" s="50">
        <v>1</v>
      </c>
      <c r="G12" s="50">
        <f t="shared" si="0"/>
        <v>90</v>
      </c>
      <c r="H12" s="7">
        <f t="shared" si="1"/>
        <v>50</v>
      </c>
      <c r="I12" s="7">
        <f t="shared" si="2"/>
        <v>500</v>
      </c>
      <c r="J12" s="7" t="s">
        <v>627</v>
      </c>
    </row>
    <row r="13" spans="1:10">
      <c r="A13" s="28" t="s">
        <v>540</v>
      </c>
      <c r="B13" s="1" t="s">
        <v>555</v>
      </c>
      <c r="C13" s="7">
        <v>500</v>
      </c>
      <c r="D13" s="48">
        <v>150</v>
      </c>
      <c r="E13" s="50">
        <v>0.1</v>
      </c>
      <c r="F13" s="50">
        <v>1</v>
      </c>
      <c r="G13" s="50">
        <f t="shared" si="0"/>
        <v>90</v>
      </c>
      <c r="H13" s="7">
        <f t="shared" si="1"/>
        <v>50</v>
      </c>
      <c r="I13" s="7">
        <f t="shared" si="2"/>
        <v>500</v>
      </c>
      <c r="J13" s="7" t="s">
        <v>627</v>
      </c>
    </row>
    <row r="14" spans="1:10">
      <c r="A14" s="28" t="s">
        <v>540</v>
      </c>
      <c r="B14" s="27" t="s">
        <v>556</v>
      </c>
      <c r="C14" s="29">
        <v>1000</v>
      </c>
      <c r="D14" s="48">
        <v>150</v>
      </c>
      <c r="E14" s="50">
        <v>0.1</v>
      </c>
      <c r="F14" s="50">
        <v>1</v>
      </c>
      <c r="G14" s="50">
        <f t="shared" si="0"/>
        <v>90</v>
      </c>
      <c r="H14" s="7">
        <f t="shared" si="1"/>
        <v>100</v>
      </c>
      <c r="I14" s="7">
        <f t="shared" si="2"/>
        <v>1000</v>
      </c>
      <c r="J14" s="7" t="s">
        <v>627</v>
      </c>
    </row>
    <row r="15" spans="1:10">
      <c r="A15" s="28" t="s">
        <v>540</v>
      </c>
      <c r="B15" s="27" t="s">
        <v>557</v>
      </c>
      <c r="C15" s="29">
        <v>1050</v>
      </c>
      <c r="D15" s="48">
        <v>150</v>
      </c>
      <c r="E15" s="50">
        <v>0.1</v>
      </c>
      <c r="F15" s="50">
        <v>1</v>
      </c>
      <c r="G15" s="50">
        <f t="shared" si="0"/>
        <v>90</v>
      </c>
      <c r="H15" s="7">
        <f t="shared" si="1"/>
        <v>105</v>
      </c>
      <c r="I15" s="7">
        <f t="shared" si="2"/>
        <v>1050</v>
      </c>
      <c r="J15" s="7" t="s">
        <v>627</v>
      </c>
    </row>
    <row r="16" spans="1:10">
      <c r="A16" s="28" t="s">
        <v>540</v>
      </c>
      <c r="B16" s="27" t="s">
        <v>558</v>
      </c>
      <c r="C16" s="29">
        <v>1</v>
      </c>
      <c r="D16" s="48">
        <v>150</v>
      </c>
      <c r="E16" s="50">
        <v>0.1</v>
      </c>
      <c r="F16" s="50">
        <v>1</v>
      </c>
      <c r="G16" s="50">
        <f t="shared" si="0"/>
        <v>90</v>
      </c>
      <c r="H16" s="7">
        <f t="shared" si="1"/>
        <v>0.1</v>
      </c>
      <c r="I16" s="7">
        <f t="shared" si="2"/>
        <v>1</v>
      </c>
      <c r="J16" s="7" t="s">
        <v>627</v>
      </c>
    </row>
    <row r="17" spans="1:10">
      <c r="A17" s="28" t="s">
        <v>540</v>
      </c>
      <c r="B17" s="1" t="s">
        <v>559</v>
      </c>
      <c r="C17" s="7">
        <v>500</v>
      </c>
      <c r="D17" s="48">
        <v>150</v>
      </c>
      <c r="E17" s="50">
        <v>0.1</v>
      </c>
      <c r="F17" s="50">
        <v>1</v>
      </c>
      <c r="G17" s="50">
        <f t="shared" si="0"/>
        <v>90</v>
      </c>
      <c r="H17" s="7">
        <f t="shared" si="1"/>
        <v>50</v>
      </c>
      <c r="I17" s="7">
        <f t="shared" si="2"/>
        <v>500</v>
      </c>
      <c r="J17" s="7" t="s">
        <v>627</v>
      </c>
    </row>
    <row r="18" spans="1:10">
      <c r="A18" s="28" t="s">
        <v>540</v>
      </c>
      <c r="B18" s="1" t="s">
        <v>560</v>
      </c>
      <c r="C18" s="7">
        <v>500</v>
      </c>
      <c r="D18" s="48">
        <v>150</v>
      </c>
      <c r="E18" s="50">
        <v>0.1</v>
      </c>
      <c r="F18" s="50">
        <v>1</v>
      </c>
      <c r="G18" s="50">
        <f t="shared" si="0"/>
        <v>90</v>
      </c>
      <c r="H18" s="7">
        <f t="shared" si="1"/>
        <v>50</v>
      </c>
      <c r="I18" s="7">
        <f t="shared" si="2"/>
        <v>500</v>
      </c>
      <c r="J18" s="7" t="s">
        <v>627</v>
      </c>
    </row>
    <row r="19" spans="1:10">
      <c r="A19" s="28" t="s">
        <v>540</v>
      </c>
      <c r="B19" s="1" t="s">
        <v>561</v>
      </c>
      <c r="C19" s="7">
        <v>500</v>
      </c>
      <c r="D19" s="48">
        <v>150</v>
      </c>
      <c r="E19" s="50">
        <v>0.1</v>
      </c>
      <c r="F19" s="50">
        <v>1</v>
      </c>
      <c r="G19" s="50">
        <f t="shared" si="0"/>
        <v>90</v>
      </c>
      <c r="H19" s="7">
        <f t="shared" si="1"/>
        <v>50</v>
      </c>
      <c r="I19" s="7">
        <f t="shared" si="2"/>
        <v>500</v>
      </c>
      <c r="J19" s="7" t="s">
        <v>627</v>
      </c>
    </row>
    <row r="20" spans="1:10">
      <c r="A20" s="28" t="s">
        <v>540</v>
      </c>
      <c r="B20" s="1" t="s">
        <v>562</v>
      </c>
      <c r="C20" s="7">
        <v>500</v>
      </c>
      <c r="D20" s="48">
        <v>150</v>
      </c>
      <c r="E20" s="50">
        <v>0.1</v>
      </c>
      <c r="F20" s="50">
        <v>1</v>
      </c>
      <c r="G20" s="50">
        <f t="shared" si="0"/>
        <v>90</v>
      </c>
      <c r="H20" s="7">
        <f t="shared" si="1"/>
        <v>50</v>
      </c>
      <c r="I20" s="7">
        <f t="shared" si="2"/>
        <v>500</v>
      </c>
      <c r="J20" s="7" t="s">
        <v>627</v>
      </c>
    </row>
    <row r="21" spans="1:10">
      <c r="A21" s="28" t="s">
        <v>540</v>
      </c>
      <c r="B21" s="1" t="s">
        <v>563</v>
      </c>
      <c r="C21" s="7">
        <v>500</v>
      </c>
      <c r="D21" s="48">
        <v>150</v>
      </c>
      <c r="E21" s="50">
        <v>0.1</v>
      </c>
      <c r="F21" s="50">
        <v>1</v>
      </c>
      <c r="G21" s="50">
        <f t="shared" si="0"/>
        <v>90</v>
      </c>
      <c r="H21" s="7">
        <f t="shared" si="1"/>
        <v>50</v>
      </c>
      <c r="I21" s="7">
        <f t="shared" si="2"/>
        <v>500</v>
      </c>
      <c r="J21" s="7" t="s">
        <v>627</v>
      </c>
    </row>
    <row r="22" spans="1:10">
      <c r="A22" s="28" t="s">
        <v>540</v>
      </c>
      <c r="B22" s="1" t="s">
        <v>564</v>
      </c>
      <c r="C22" s="7">
        <v>500</v>
      </c>
      <c r="D22" s="48">
        <v>150</v>
      </c>
      <c r="E22" s="50">
        <v>0.1</v>
      </c>
      <c r="F22" s="50">
        <v>1</v>
      </c>
      <c r="G22" s="50">
        <f t="shared" si="0"/>
        <v>90</v>
      </c>
      <c r="H22" s="7">
        <f t="shared" si="1"/>
        <v>50</v>
      </c>
      <c r="I22" s="7">
        <f t="shared" si="2"/>
        <v>500</v>
      </c>
      <c r="J22" s="7" t="s">
        <v>627</v>
      </c>
    </row>
    <row r="23" spans="1:10">
      <c r="A23" s="28" t="s">
        <v>540</v>
      </c>
      <c r="B23" s="21" t="s">
        <v>567</v>
      </c>
      <c r="C23" s="7">
        <v>500</v>
      </c>
      <c r="D23" s="48">
        <v>150</v>
      </c>
      <c r="E23" s="50">
        <v>0.1</v>
      </c>
      <c r="F23" s="50">
        <v>1</v>
      </c>
      <c r="G23" s="50">
        <f t="shared" si="0"/>
        <v>90</v>
      </c>
      <c r="H23" s="7">
        <f t="shared" si="1"/>
        <v>50</v>
      </c>
      <c r="I23" s="7">
        <f t="shared" si="2"/>
        <v>500</v>
      </c>
      <c r="J23" s="7" t="s">
        <v>627</v>
      </c>
    </row>
    <row r="24" spans="1:10">
      <c r="A24" s="28" t="s">
        <v>540</v>
      </c>
      <c r="B24" s="1" t="s">
        <v>568</v>
      </c>
      <c r="C24" s="7">
        <v>500</v>
      </c>
      <c r="D24" s="48">
        <v>150</v>
      </c>
      <c r="E24" s="50">
        <v>0.1</v>
      </c>
      <c r="F24" s="50">
        <v>1</v>
      </c>
      <c r="G24" s="50">
        <f t="shared" si="0"/>
        <v>90</v>
      </c>
      <c r="H24" s="7">
        <f t="shared" si="1"/>
        <v>50</v>
      </c>
      <c r="I24" s="7">
        <f t="shared" si="2"/>
        <v>500</v>
      </c>
      <c r="J24" s="7" t="s">
        <v>627</v>
      </c>
    </row>
    <row r="25" spans="1:10">
      <c r="A25" s="28" t="s">
        <v>540</v>
      </c>
      <c r="B25" s="1" t="s">
        <v>569</v>
      </c>
      <c r="C25" s="7">
        <v>500</v>
      </c>
      <c r="D25" s="48">
        <v>150</v>
      </c>
      <c r="E25" s="50">
        <v>0.1</v>
      </c>
      <c r="F25" s="50">
        <v>1</v>
      </c>
      <c r="G25" s="50">
        <f t="shared" si="0"/>
        <v>90</v>
      </c>
      <c r="H25" s="7">
        <f t="shared" si="1"/>
        <v>50</v>
      </c>
      <c r="I25" s="7">
        <f t="shared" si="2"/>
        <v>500</v>
      </c>
      <c r="J25" s="7" t="s">
        <v>627</v>
      </c>
    </row>
    <row r="26" spans="1:10">
      <c r="A26" s="28" t="s">
        <v>540</v>
      </c>
      <c r="B26" s="1" t="s">
        <v>570</v>
      </c>
      <c r="C26" s="7">
        <v>500</v>
      </c>
      <c r="D26" s="48">
        <v>150</v>
      </c>
      <c r="E26" s="50">
        <v>0.1</v>
      </c>
      <c r="F26" s="50">
        <v>1</v>
      </c>
      <c r="G26" s="50">
        <f t="shared" si="0"/>
        <v>90</v>
      </c>
      <c r="H26" s="7">
        <f t="shared" si="1"/>
        <v>50</v>
      </c>
      <c r="I26" s="7">
        <f t="shared" si="2"/>
        <v>500</v>
      </c>
      <c r="J26" s="7" t="s">
        <v>627</v>
      </c>
    </row>
    <row r="27" spans="1:10">
      <c r="A27" s="28" t="s">
        <v>540</v>
      </c>
      <c r="B27" s="1" t="s">
        <v>571</v>
      </c>
      <c r="C27" s="7">
        <v>200</v>
      </c>
      <c r="D27" s="48">
        <v>150</v>
      </c>
      <c r="E27" s="50">
        <v>0.1</v>
      </c>
      <c r="F27" s="50">
        <v>1</v>
      </c>
      <c r="G27" s="50">
        <f t="shared" si="0"/>
        <v>90</v>
      </c>
      <c r="H27" s="7">
        <f t="shared" si="1"/>
        <v>20</v>
      </c>
      <c r="I27" s="7">
        <f t="shared" si="2"/>
        <v>200</v>
      </c>
      <c r="J27" s="7" t="s">
        <v>627</v>
      </c>
    </row>
    <row r="28" spans="1:10">
      <c r="A28" s="28" t="s">
        <v>540</v>
      </c>
      <c r="B28" s="1" t="s">
        <v>572</v>
      </c>
      <c r="C28" s="7">
        <v>500</v>
      </c>
      <c r="D28" s="48">
        <v>150</v>
      </c>
      <c r="E28" s="50">
        <v>0.1</v>
      </c>
      <c r="F28" s="50">
        <v>1</v>
      </c>
      <c r="G28" s="50">
        <f t="shared" si="0"/>
        <v>90</v>
      </c>
      <c r="H28" s="7">
        <f t="shared" si="1"/>
        <v>50</v>
      </c>
      <c r="I28" s="7">
        <f t="shared" si="2"/>
        <v>500</v>
      </c>
      <c r="J28" s="7" t="s">
        <v>627</v>
      </c>
    </row>
    <row r="29" spans="1:10">
      <c r="A29" s="28" t="s">
        <v>540</v>
      </c>
      <c r="B29" s="1" t="s">
        <v>573</v>
      </c>
      <c r="C29" s="7">
        <v>500</v>
      </c>
      <c r="D29" s="48">
        <v>150</v>
      </c>
      <c r="E29" s="50">
        <v>0.1</v>
      </c>
      <c r="F29" s="50">
        <v>1</v>
      </c>
      <c r="G29" s="50">
        <f t="shared" si="0"/>
        <v>90</v>
      </c>
      <c r="H29" s="7">
        <f t="shared" si="1"/>
        <v>50</v>
      </c>
      <c r="I29" s="7">
        <f t="shared" si="2"/>
        <v>500</v>
      </c>
      <c r="J29" s="7" t="s">
        <v>627</v>
      </c>
    </row>
    <row r="30" spans="1:10">
      <c r="A30" s="28" t="s">
        <v>540</v>
      </c>
      <c r="B30" s="1" t="s">
        <v>574</v>
      </c>
      <c r="C30" s="7">
        <v>500</v>
      </c>
      <c r="D30" s="48">
        <v>150</v>
      </c>
      <c r="E30" s="50">
        <v>0.1</v>
      </c>
      <c r="F30" s="50">
        <v>1</v>
      </c>
      <c r="G30" s="50">
        <f t="shared" si="0"/>
        <v>90</v>
      </c>
      <c r="H30" s="7">
        <f t="shared" si="1"/>
        <v>50</v>
      </c>
      <c r="I30" s="7">
        <f t="shared" si="2"/>
        <v>500</v>
      </c>
      <c r="J30" s="7" t="s">
        <v>627</v>
      </c>
    </row>
    <row r="31" spans="1:10">
      <c r="A31" s="28" t="s">
        <v>540</v>
      </c>
      <c r="B31" s="1" t="s">
        <v>575</v>
      </c>
      <c r="C31" s="7">
        <v>500</v>
      </c>
      <c r="D31" s="48">
        <v>150</v>
      </c>
      <c r="E31" s="50">
        <v>0.1</v>
      </c>
      <c r="F31" s="50">
        <v>1</v>
      </c>
      <c r="G31" s="50">
        <f t="shared" si="0"/>
        <v>90</v>
      </c>
      <c r="H31" s="7">
        <f t="shared" si="1"/>
        <v>50</v>
      </c>
      <c r="I31" s="7">
        <f t="shared" si="2"/>
        <v>500</v>
      </c>
      <c r="J31" s="7" t="s">
        <v>627</v>
      </c>
    </row>
    <row r="32" spans="1:10">
      <c r="A32" s="28" t="s">
        <v>540</v>
      </c>
      <c r="B32" s="1" t="s">
        <v>576</v>
      </c>
      <c r="C32" s="7">
        <v>500</v>
      </c>
      <c r="D32" s="48">
        <v>150</v>
      </c>
      <c r="E32" s="50">
        <v>0.1</v>
      </c>
      <c r="F32" s="50">
        <v>1</v>
      </c>
      <c r="G32" s="50">
        <f t="shared" si="0"/>
        <v>90</v>
      </c>
      <c r="H32" s="7">
        <f t="shared" si="1"/>
        <v>50</v>
      </c>
      <c r="I32" s="7">
        <f t="shared" si="2"/>
        <v>500</v>
      </c>
      <c r="J32" s="7" t="s">
        <v>627</v>
      </c>
    </row>
    <row r="33" spans="1:10">
      <c r="A33" s="28" t="s">
        <v>540</v>
      </c>
      <c r="B33" s="1" t="s">
        <v>577</v>
      </c>
      <c r="C33" s="7">
        <v>500</v>
      </c>
      <c r="D33" s="48">
        <v>150</v>
      </c>
      <c r="E33" s="50">
        <v>0.1</v>
      </c>
      <c r="F33" s="50">
        <v>1</v>
      </c>
      <c r="G33" s="50">
        <f t="shared" si="0"/>
        <v>90</v>
      </c>
      <c r="H33" s="7">
        <f t="shared" si="1"/>
        <v>50</v>
      </c>
      <c r="I33" s="7">
        <f t="shared" si="2"/>
        <v>500</v>
      </c>
      <c r="J33" s="7" t="s">
        <v>627</v>
      </c>
    </row>
    <row r="34" spans="1:10">
      <c r="A34" s="28" t="s">
        <v>540</v>
      </c>
      <c r="B34" s="1" t="s">
        <v>578</v>
      </c>
      <c r="C34" s="7">
        <v>500</v>
      </c>
      <c r="D34" s="48">
        <v>150</v>
      </c>
      <c r="E34" s="50">
        <v>0.1</v>
      </c>
      <c r="F34" s="50">
        <v>1</v>
      </c>
      <c r="G34" s="50">
        <f t="shared" si="0"/>
        <v>90</v>
      </c>
      <c r="H34" s="7">
        <f t="shared" si="1"/>
        <v>50</v>
      </c>
      <c r="I34" s="7">
        <f t="shared" si="2"/>
        <v>500</v>
      </c>
      <c r="J34" s="7" t="s">
        <v>627</v>
      </c>
    </row>
    <row r="35" spans="1:10">
      <c r="A35" s="28" t="s">
        <v>540</v>
      </c>
      <c r="B35" s="1" t="s">
        <v>579</v>
      </c>
      <c r="C35" s="7">
        <v>500</v>
      </c>
      <c r="D35" s="48">
        <v>150</v>
      </c>
      <c r="E35" s="50">
        <v>0.1</v>
      </c>
      <c r="F35" s="50">
        <v>1</v>
      </c>
      <c r="G35" s="50">
        <f t="shared" si="0"/>
        <v>90</v>
      </c>
      <c r="H35" s="7">
        <f t="shared" si="1"/>
        <v>50</v>
      </c>
      <c r="I35" s="7">
        <f t="shared" si="2"/>
        <v>500</v>
      </c>
      <c r="J35" s="7" t="s">
        <v>627</v>
      </c>
    </row>
    <row r="36" spans="1:10">
      <c r="A36" s="28" t="s">
        <v>540</v>
      </c>
      <c r="B36" s="1" t="s">
        <v>580</v>
      </c>
      <c r="C36" s="7">
        <v>500</v>
      </c>
      <c r="D36" s="48">
        <v>150</v>
      </c>
      <c r="E36" s="50">
        <v>0.1</v>
      </c>
      <c r="F36" s="50">
        <v>1</v>
      </c>
      <c r="G36" s="50">
        <f t="shared" si="0"/>
        <v>90</v>
      </c>
      <c r="H36" s="7">
        <f t="shared" si="1"/>
        <v>50</v>
      </c>
      <c r="I36" s="7">
        <f t="shared" si="2"/>
        <v>500</v>
      </c>
      <c r="J36" s="7" t="s">
        <v>627</v>
      </c>
    </row>
    <row r="37" spans="1:10">
      <c r="A37" s="28" t="s">
        <v>540</v>
      </c>
      <c r="B37" s="1" t="s">
        <v>581</v>
      </c>
      <c r="C37" s="7">
        <v>500</v>
      </c>
      <c r="D37" s="48">
        <v>150</v>
      </c>
      <c r="E37" s="50">
        <v>0.1</v>
      </c>
      <c r="F37" s="50">
        <v>1</v>
      </c>
      <c r="G37" s="50">
        <f t="shared" si="0"/>
        <v>90</v>
      </c>
      <c r="H37" s="7">
        <f t="shared" si="1"/>
        <v>50</v>
      </c>
      <c r="I37" s="7">
        <f t="shared" si="2"/>
        <v>500</v>
      </c>
      <c r="J37" s="7" t="s">
        <v>627</v>
      </c>
    </row>
    <row r="38" spans="1:10">
      <c r="A38" s="28" t="s">
        <v>540</v>
      </c>
      <c r="B38" s="1" t="s">
        <v>582</v>
      </c>
      <c r="C38" s="7">
        <v>500</v>
      </c>
      <c r="D38" s="48">
        <v>150</v>
      </c>
      <c r="E38" s="50">
        <v>0.1</v>
      </c>
      <c r="F38" s="50">
        <v>1</v>
      </c>
      <c r="G38" s="50">
        <f t="shared" si="0"/>
        <v>90</v>
      </c>
      <c r="H38" s="7">
        <f t="shared" si="1"/>
        <v>50</v>
      </c>
      <c r="I38" s="7">
        <f t="shared" si="2"/>
        <v>500</v>
      </c>
      <c r="J38" s="7" t="s">
        <v>627</v>
      </c>
    </row>
    <row r="39" spans="1:10">
      <c r="A39" s="28" t="s">
        <v>540</v>
      </c>
      <c r="B39" s="1" t="s">
        <v>583</v>
      </c>
      <c r="C39" s="7">
        <v>500</v>
      </c>
      <c r="D39" s="48">
        <v>150</v>
      </c>
      <c r="E39" s="50">
        <v>0.1</v>
      </c>
      <c r="F39" s="50">
        <v>1</v>
      </c>
      <c r="G39" s="50">
        <f t="shared" si="0"/>
        <v>90</v>
      </c>
      <c r="H39" s="7">
        <f t="shared" si="1"/>
        <v>50</v>
      </c>
      <c r="I39" s="7">
        <f t="shared" si="2"/>
        <v>500</v>
      </c>
      <c r="J39" s="7" t="s">
        <v>627</v>
      </c>
    </row>
    <row r="40" spans="1:10">
      <c r="A40" s="28" t="s">
        <v>540</v>
      </c>
      <c r="B40" s="1" t="s">
        <v>584</v>
      </c>
      <c r="C40" s="7">
        <v>500</v>
      </c>
      <c r="D40" s="48">
        <v>150</v>
      </c>
      <c r="E40" s="50">
        <v>0.1</v>
      </c>
      <c r="F40" s="50">
        <v>1</v>
      </c>
      <c r="G40" s="50">
        <f t="shared" si="0"/>
        <v>90</v>
      </c>
      <c r="H40" s="7">
        <f t="shared" si="1"/>
        <v>50</v>
      </c>
      <c r="I40" s="7">
        <f t="shared" si="2"/>
        <v>500</v>
      </c>
      <c r="J40" s="7" t="s">
        <v>627</v>
      </c>
    </row>
    <row r="41" spans="1:10">
      <c r="A41" s="28" t="s">
        <v>540</v>
      </c>
      <c r="B41" s="1" t="s">
        <v>585</v>
      </c>
      <c r="C41" s="7">
        <v>500</v>
      </c>
      <c r="D41" s="48">
        <v>150</v>
      </c>
      <c r="E41" s="50">
        <v>0.1</v>
      </c>
      <c r="F41" s="50">
        <v>1</v>
      </c>
      <c r="G41" s="50">
        <f t="shared" si="0"/>
        <v>90</v>
      </c>
      <c r="H41" s="7">
        <f t="shared" si="1"/>
        <v>50</v>
      </c>
      <c r="I41" s="7">
        <f t="shared" si="2"/>
        <v>500</v>
      </c>
      <c r="J41" s="7" t="s">
        <v>627</v>
      </c>
    </row>
    <row r="42" spans="1:10">
      <c r="A42" s="28" t="s">
        <v>540</v>
      </c>
      <c r="B42" s="1" t="s">
        <v>586</v>
      </c>
      <c r="C42" s="7">
        <v>500</v>
      </c>
      <c r="D42" s="48">
        <v>150</v>
      </c>
      <c r="E42" s="50">
        <v>0.1</v>
      </c>
      <c r="F42" s="50">
        <v>1</v>
      </c>
      <c r="G42" s="50">
        <f t="shared" si="0"/>
        <v>90</v>
      </c>
      <c r="H42" s="7">
        <f t="shared" si="1"/>
        <v>50</v>
      </c>
      <c r="I42" s="7">
        <f t="shared" si="2"/>
        <v>500</v>
      </c>
      <c r="J42" s="7" t="s">
        <v>627</v>
      </c>
    </row>
    <row r="43" spans="1:10">
      <c r="A43" s="28" t="s">
        <v>540</v>
      </c>
      <c r="B43" s="1" t="s">
        <v>587</v>
      </c>
      <c r="C43" s="7">
        <v>500</v>
      </c>
      <c r="D43" s="48">
        <v>150</v>
      </c>
      <c r="E43" s="50">
        <v>0.1</v>
      </c>
      <c r="F43" s="50">
        <v>1</v>
      </c>
      <c r="G43" s="50">
        <f t="shared" si="0"/>
        <v>90</v>
      </c>
      <c r="H43" s="7">
        <f t="shared" si="1"/>
        <v>50</v>
      </c>
      <c r="I43" s="7">
        <f t="shared" si="2"/>
        <v>500</v>
      </c>
      <c r="J43" s="7" t="s">
        <v>627</v>
      </c>
    </row>
    <row r="44" spans="1:10">
      <c r="A44" s="28" t="s">
        <v>540</v>
      </c>
      <c r="B44" s="1" t="s">
        <v>588</v>
      </c>
      <c r="C44" s="7">
        <v>500</v>
      </c>
      <c r="D44" s="48">
        <v>150</v>
      </c>
      <c r="E44" s="50">
        <v>0.1</v>
      </c>
      <c r="F44" s="50">
        <v>1</v>
      </c>
      <c r="G44" s="50">
        <f t="shared" si="0"/>
        <v>90</v>
      </c>
      <c r="H44" s="7">
        <f t="shared" si="1"/>
        <v>50</v>
      </c>
      <c r="I44" s="7">
        <f t="shared" si="2"/>
        <v>500</v>
      </c>
      <c r="J44" s="7" t="s">
        <v>627</v>
      </c>
    </row>
    <row r="45" spans="1:10">
      <c r="A45" s="28" t="s">
        <v>540</v>
      </c>
      <c r="B45" s="1" t="s">
        <v>589</v>
      </c>
      <c r="C45" s="7">
        <v>500</v>
      </c>
      <c r="D45" s="48">
        <v>150</v>
      </c>
      <c r="E45" s="50">
        <v>0.1</v>
      </c>
      <c r="F45" s="50">
        <v>1</v>
      </c>
      <c r="G45" s="50">
        <f t="shared" si="0"/>
        <v>90</v>
      </c>
      <c r="H45" s="7">
        <f t="shared" si="1"/>
        <v>50</v>
      </c>
      <c r="I45" s="7">
        <f t="shared" si="2"/>
        <v>500</v>
      </c>
      <c r="J45" s="7" t="s">
        <v>627</v>
      </c>
    </row>
    <row r="46" spans="1:10">
      <c r="A46" s="28" t="s">
        <v>540</v>
      </c>
      <c r="B46" s="2" t="s">
        <v>591</v>
      </c>
      <c r="C46" s="7">
        <v>20</v>
      </c>
      <c r="D46" s="48">
        <v>150</v>
      </c>
      <c r="E46" s="50">
        <v>0.1</v>
      </c>
      <c r="F46" s="50">
        <v>1</v>
      </c>
      <c r="G46" s="50">
        <f t="shared" si="0"/>
        <v>90</v>
      </c>
      <c r="H46" s="7">
        <f t="shared" si="1"/>
        <v>2</v>
      </c>
      <c r="I46" s="7">
        <f t="shared" si="2"/>
        <v>20</v>
      </c>
      <c r="J46" s="7" t="s">
        <v>627</v>
      </c>
    </row>
    <row r="47" spans="1:10">
      <c r="A47" s="28" t="s">
        <v>540</v>
      </c>
      <c r="B47" s="2" t="s">
        <v>590</v>
      </c>
      <c r="C47" s="7">
        <v>500</v>
      </c>
      <c r="D47" s="48">
        <v>150</v>
      </c>
      <c r="E47" s="50">
        <v>0.1</v>
      </c>
      <c r="F47" s="50">
        <v>1</v>
      </c>
      <c r="G47" s="50">
        <f t="shared" si="0"/>
        <v>90</v>
      </c>
      <c r="H47" s="7">
        <f t="shared" si="1"/>
        <v>50</v>
      </c>
      <c r="I47" s="7">
        <f t="shared" si="2"/>
        <v>500</v>
      </c>
      <c r="J47" s="7" t="s">
        <v>627</v>
      </c>
    </row>
    <row r="48" spans="1:10">
      <c r="A48" s="28" t="s">
        <v>540</v>
      </c>
      <c r="B48" s="2" t="s">
        <v>592</v>
      </c>
      <c r="C48" s="7">
        <v>500</v>
      </c>
      <c r="D48" s="48">
        <v>150</v>
      </c>
      <c r="E48" s="50">
        <v>0.1</v>
      </c>
      <c r="F48" s="50">
        <v>1</v>
      </c>
      <c r="G48" s="50">
        <f t="shared" si="0"/>
        <v>90</v>
      </c>
      <c r="H48" s="7">
        <f t="shared" si="1"/>
        <v>50</v>
      </c>
      <c r="I48" s="7">
        <f t="shared" si="2"/>
        <v>500</v>
      </c>
      <c r="J48" s="7" t="s">
        <v>627</v>
      </c>
    </row>
    <row r="49" spans="1:10">
      <c r="A49" s="28" t="s">
        <v>540</v>
      </c>
      <c r="B49" s="2" t="s">
        <v>593</v>
      </c>
      <c r="C49" s="7">
        <v>500</v>
      </c>
      <c r="D49" s="48">
        <v>150</v>
      </c>
      <c r="E49" s="50">
        <v>0.1</v>
      </c>
      <c r="F49" s="50">
        <v>1</v>
      </c>
      <c r="G49" s="50">
        <f t="shared" si="0"/>
        <v>90</v>
      </c>
      <c r="H49" s="7">
        <f t="shared" si="1"/>
        <v>50</v>
      </c>
      <c r="I49" s="7">
        <f t="shared" si="2"/>
        <v>500</v>
      </c>
      <c r="J49" s="7" t="s">
        <v>627</v>
      </c>
    </row>
    <row r="50" spans="1:10">
      <c r="A50" s="28" t="s">
        <v>540</v>
      </c>
      <c r="B50" s="2" t="s">
        <v>594</v>
      </c>
      <c r="C50" s="7">
        <v>500</v>
      </c>
      <c r="D50" s="48">
        <v>150</v>
      </c>
      <c r="E50" s="50">
        <v>0.1</v>
      </c>
      <c r="F50" s="50">
        <v>1</v>
      </c>
      <c r="G50" s="50">
        <f t="shared" si="0"/>
        <v>90</v>
      </c>
      <c r="H50" s="7">
        <f t="shared" si="1"/>
        <v>50</v>
      </c>
      <c r="I50" s="7">
        <f t="shared" si="2"/>
        <v>500</v>
      </c>
      <c r="J50" s="7" t="s">
        <v>627</v>
      </c>
    </row>
    <row r="51" spans="1:10">
      <c r="A51" s="28" t="s">
        <v>540</v>
      </c>
      <c r="B51" s="2" t="s">
        <v>595</v>
      </c>
      <c r="C51" s="7">
        <v>400</v>
      </c>
      <c r="D51" s="48">
        <v>150</v>
      </c>
      <c r="E51" s="50">
        <v>0.1</v>
      </c>
      <c r="F51" s="50">
        <v>1</v>
      </c>
      <c r="G51" s="50">
        <f t="shared" si="0"/>
        <v>90</v>
      </c>
      <c r="H51" s="7">
        <f t="shared" si="1"/>
        <v>40</v>
      </c>
      <c r="I51" s="7">
        <f t="shared" si="2"/>
        <v>400</v>
      </c>
      <c r="J51" s="7" t="s">
        <v>627</v>
      </c>
    </row>
    <row r="52" spans="1:10">
      <c r="A52" s="28" t="s">
        <v>540</v>
      </c>
      <c r="B52" s="2" t="s">
        <v>596</v>
      </c>
      <c r="C52" s="7">
        <v>500</v>
      </c>
      <c r="D52" s="48">
        <v>150</v>
      </c>
      <c r="E52" s="50">
        <v>0.1</v>
      </c>
      <c r="F52" s="50">
        <v>1</v>
      </c>
      <c r="G52" s="50">
        <f t="shared" si="0"/>
        <v>90</v>
      </c>
      <c r="H52" s="7">
        <f t="shared" si="1"/>
        <v>50</v>
      </c>
      <c r="I52" s="7">
        <f t="shared" si="2"/>
        <v>500</v>
      </c>
      <c r="J52" s="7" t="s">
        <v>627</v>
      </c>
    </row>
    <row r="53" spans="1:10">
      <c r="A53" s="28" t="s">
        <v>540</v>
      </c>
      <c r="B53" s="2" t="s">
        <v>597</v>
      </c>
      <c r="C53" s="7">
        <v>500</v>
      </c>
      <c r="D53" s="48">
        <v>150</v>
      </c>
      <c r="E53" s="50">
        <v>0.1</v>
      </c>
      <c r="F53" s="50">
        <v>1</v>
      </c>
      <c r="G53" s="50">
        <f t="shared" si="0"/>
        <v>90</v>
      </c>
      <c r="H53" s="7">
        <f t="shared" si="1"/>
        <v>50</v>
      </c>
      <c r="I53" s="7">
        <f t="shared" si="2"/>
        <v>500</v>
      </c>
      <c r="J53" s="7" t="s">
        <v>627</v>
      </c>
    </row>
    <row r="54" spans="1:10">
      <c r="A54" s="28" t="s">
        <v>540</v>
      </c>
      <c r="B54" s="2" t="s">
        <v>598</v>
      </c>
      <c r="C54" s="7">
        <v>500</v>
      </c>
      <c r="D54" s="48">
        <v>150</v>
      </c>
      <c r="E54" s="50">
        <v>0.1</v>
      </c>
      <c r="F54" s="50">
        <v>1</v>
      </c>
      <c r="G54" s="50">
        <f t="shared" si="0"/>
        <v>90</v>
      </c>
      <c r="H54" s="7">
        <f t="shared" si="1"/>
        <v>50</v>
      </c>
      <c r="I54" s="7">
        <f t="shared" si="2"/>
        <v>500</v>
      </c>
      <c r="J54" s="7" t="s">
        <v>627</v>
      </c>
    </row>
    <row r="55" spans="1:10">
      <c r="A55" s="28" t="s">
        <v>540</v>
      </c>
      <c r="B55" s="2" t="s">
        <v>599</v>
      </c>
      <c r="C55" s="7">
        <v>20</v>
      </c>
      <c r="D55" s="48">
        <v>150</v>
      </c>
      <c r="E55" s="50">
        <v>0.1</v>
      </c>
      <c r="F55" s="50">
        <v>1</v>
      </c>
      <c r="G55" s="50">
        <f t="shared" si="0"/>
        <v>90</v>
      </c>
      <c r="H55" s="7">
        <f t="shared" si="1"/>
        <v>2</v>
      </c>
      <c r="I55" s="7">
        <f t="shared" si="2"/>
        <v>20</v>
      </c>
      <c r="J55" s="7" t="s">
        <v>627</v>
      </c>
    </row>
    <row r="56" spans="1:10">
      <c r="A56" s="28" t="s">
        <v>540</v>
      </c>
      <c r="B56" s="1" t="s">
        <v>600</v>
      </c>
      <c r="C56" s="7">
        <v>500</v>
      </c>
      <c r="D56" s="48">
        <v>150</v>
      </c>
      <c r="E56" s="50">
        <v>0.1</v>
      </c>
      <c r="F56" s="50">
        <v>1</v>
      </c>
      <c r="G56" s="50">
        <f t="shared" si="0"/>
        <v>90</v>
      </c>
      <c r="H56" s="7">
        <f t="shared" si="1"/>
        <v>50</v>
      </c>
      <c r="I56" s="7">
        <f t="shared" si="2"/>
        <v>500</v>
      </c>
      <c r="J56" s="7" t="s">
        <v>627</v>
      </c>
    </row>
    <row r="57" spans="1:10">
      <c r="A57" s="28" t="s">
        <v>540</v>
      </c>
      <c r="B57" s="1" t="s">
        <v>601</v>
      </c>
      <c r="C57" s="7">
        <v>500</v>
      </c>
      <c r="D57" s="48">
        <v>150</v>
      </c>
      <c r="E57" s="50">
        <v>0.1</v>
      </c>
      <c r="F57" s="50">
        <v>1</v>
      </c>
      <c r="G57" s="50">
        <f t="shared" si="0"/>
        <v>90</v>
      </c>
      <c r="H57" s="7">
        <f t="shared" si="1"/>
        <v>50</v>
      </c>
      <c r="I57" s="7">
        <f t="shared" si="2"/>
        <v>500</v>
      </c>
      <c r="J57" s="7" t="s">
        <v>627</v>
      </c>
    </row>
    <row r="58" spans="1:10">
      <c r="A58" s="28" t="s">
        <v>540</v>
      </c>
      <c r="B58" s="1" t="s">
        <v>602</v>
      </c>
      <c r="C58" s="7">
        <v>500</v>
      </c>
      <c r="D58" s="48">
        <v>150</v>
      </c>
      <c r="E58" s="50">
        <v>0.1</v>
      </c>
      <c r="F58" s="50">
        <v>1</v>
      </c>
      <c r="G58" s="50">
        <f t="shared" si="0"/>
        <v>90</v>
      </c>
      <c r="H58" s="7">
        <f t="shared" si="1"/>
        <v>50</v>
      </c>
      <c r="I58" s="7">
        <f t="shared" si="2"/>
        <v>500</v>
      </c>
      <c r="J58" s="7" t="s">
        <v>627</v>
      </c>
    </row>
    <row r="59" spans="1:10">
      <c r="A59" s="28" t="s">
        <v>540</v>
      </c>
      <c r="B59" s="1" t="s">
        <v>603</v>
      </c>
      <c r="C59" s="7">
        <v>500</v>
      </c>
      <c r="D59" s="48">
        <v>150</v>
      </c>
      <c r="E59" s="50">
        <v>0.1</v>
      </c>
      <c r="F59" s="50">
        <v>1</v>
      </c>
      <c r="G59" s="50">
        <f t="shared" si="0"/>
        <v>90</v>
      </c>
      <c r="H59" s="7">
        <f t="shared" si="1"/>
        <v>50</v>
      </c>
      <c r="I59" s="7">
        <f t="shared" si="2"/>
        <v>500</v>
      </c>
      <c r="J59" s="7" t="s">
        <v>627</v>
      </c>
    </row>
    <row r="60" spans="1:10">
      <c r="A60" s="28" t="s">
        <v>540</v>
      </c>
      <c r="B60" s="1" t="s">
        <v>604</v>
      </c>
      <c r="C60" s="7">
        <v>500</v>
      </c>
      <c r="D60" s="48">
        <v>150</v>
      </c>
      <c r="E60" s="50">
        <v>0.1</v>
      </c>
      <c r="F60" s="50">
        <v>1</v>
      </c>
      <c r="G60" s="50">
        <f t="shared" si="0"/>
        <v>90</v>
      </c>
      <c r="H60" s="7">
        <f t="shared" si="1"/>
        <v>50</v>
      </c>
      <c r="I60" s="7">
        <f t="shared" si="2"/>
        <v>500</v>
      </c>
      <c r="J60" s="7" t="s">
        <v>627</v>
      </c>
    </row>
    <row r="61" spans="1:10">
      <c r="A61" s="28" t="s">
        <v>540</v>
      </c>
      <c r="B61" s="1" t="s">
        <v>605</v>
      </c>
      <c r="C61" s="7">
        <v>500</v>
      </c>
      <c r="D61" s="48">
        <v>150</v>
      </c>
      <c r="E61" s="50">
        <v>0.1</v>
      </c>
      <c r="F61" s="50">
        <v>1</v>
      </c>
      <c r="G61" s="50">
        <f t="shared" si="0"/>
        <v>90</v>
      </c>
      <c r="H61" s="7">
        <f t="shared" si="1"/>
        <v>50</v>
      </c>
      <c r="I61" s="7">
        <f t="shared" si="2"/>
        <v>500</v>
      </c>
      <c r="J61" s="7" t="s">
        <v>627</v>
      </c>
    </row>
    <row r="62" spans="1:10">
      <c r="A62" s="28" t="s">
        <v>540</v>
      </c>
      <c r="B62" s="17" t="s">
        <v>565</v>
      </c>
      <c r="C62" s="7">
        <v>500</v>
      </c>
      <c r="D62" s="48">
        <v>150</v>
      </c>
      <c r="E62" s="50">
        <v>0.1</v>
      </c>
      <c r="F62" s="50">
        <v>1</v>
      </c>
      <c r="G62" s="50">
        <f t="shared" si="0"/>
        <v>90</v>
      </c>
      <c r="H62" s="7">
        <f t="shared" si="1"/>
        <v>50</v>
      </c>
      <c r="I62" s="7">
        <f t="shared" si="2"/>
        <v>500</v>
      </c>
      <c r="J62" s="7" t="s">
        <v>627</v>
      </c>
    </row>
    <row r="63" spans="1:10">
      <c r="A63" s="28" t="s">
        <v>540</v>
      </c>
      <c r="B63" s="1" t="s">
        <v>566</v>
      </c>
      <c r="C63" s="7">
        <v>500</v>
      </c>
      <c r="D63" s="48">
        <v>150</v>
      </c>
      <c r="E63" s="50">
        <v>0.1</v>
      </c>
      <c r="F63" s="50">
        <v>1</v>
      </c>
      <c r="G63" s="50">
        <f t="shared" si="0"/>
        <v>90</v>
      </c>
      <c r="H63" s="7">
        <f t="shared" si="1"/>
        <v>50</v>
      </c>
      <c r="I63" s="7">
        <f t="shared" si="2"/>
        <v>500</v>
      </c>
      <c r="J63" s="7" t="s">
        <v>627</v>
      </c>
    </row>
    <row r="64" spans="1:10">
      <c r="E64" s="50"/>
      <c r="F64" s="50"/>
      <c r="G64" s="50"/>
      <c r="H64" s="7"/>
      <c r="I64" s="7"/>
      <c r="J64" s="7"/>
    </row>
    <row r="65" spans="1:10">
      <c r="A65" s="28" t="s">
        <v>541</v>
      </c>
      <c r="B65" s="1" t="s">
        <v>606</v>
      </c>
      <c r="C65" s="7">
        <v>500</v>
      </c>
      <c r="D65" s="7">
        <v>10</v>
      </c>
      <c r="E65" s="50">
        <v>1.5</v>
      </c>
      <c r="F65" s="50">
        <v>5</v>
      </c>
      <c r="G65" s="50">
        <f t="shared" si="0"/>
        <v>70</v>
      </c>
      <c r="H65" s="7">
        <f t="shared" si="1"/>
        <v>750</v>
      </c>
      <c r="I65" s="7">
        <f t="shared" si="2"/>
        <v>2500</v>
      </c>
      <c r="J65" s="7" t="s">
        <v>627</v>
      </c>
    </row>
    <row r="66" spans="1:10">
      <c r="A66" s="28" t="s">
        <v>541</v>
      </c>
      <c r="B66" s="1" t="s">
        <v>607</v>
      </c>
      <c r="C66" s="7">
        <v>500</v>
      </c>
      <c r="D66" s="7">
        <v>10</v>
      </c>
      <c r="E66" s="50">
        <v>1.5</v>
      </c>
      <c r="F66" s="50">
        <v>5</v>
      </c>
      <c r="G66" s="50">
        <f t="shared" si="0"/>
        <v>70</v>
      </c>
      <c r="H66" s="7">
        <f t="shared" si="1"/>
        <v>750</v>
      </c>
      <c r="I66" s="7">
        <f t="shared" si="2"/>
        <v>2500</v>
      </c>
      <c r="J66" s="7" t="s">
        <v>627</v>
      </c>
    </row>
    <row r="67" spans="1:10">
      <c r="A67" s="28" t="s">
        <v>541</v>
      </c>
      <c r="B67" s="1" t="s">
        <v>574</v>
      </c>
      <c r="C67" s="7">
        <v>500</v>
      </c>
      <c r="D67" s="7">
        <v>10</v>
      </c>
      <c r="E67" s="50">
        <v>1.5</v>
      </c>
      <c r="F67" s="50">
        <v>5</v>
      </c>
      <c r="G67" s="50">
        <f t="shared" ref="G67:G82" si="3">100-((E67/F67)*100)</f>
        <v>70</v>
      </c>
      <c r="H67" s="7">
        <f t="shared" ref="H67:H82" si="4">+C67*E67</f>
        <v>750</v>
      </c>
      <c r="I67" s="7">
        <f t="shared" ref="I67:I82" si="5">+F67*C67</f>
        <v>2500</v>
      </c>
      <c r="J67" s="7" t="s">
        <v>627</v>
      </c>
    </row>
    <row r="68" spans="1:10">
      <c r="B68" s="1"/>
      <c r="C68" s="1"/>
      <c r="E68" s="50"/>
      <c r="F68" s="50"/>
      <c r="G68" s="50"/>
      <c r="H68" s="7"/>
      <c r="I68" s="7"/>
      <c r="J68" s="7"/>
    </row>
    <row r="69" spans="1:10">
      <c r="A69" s="28" t="s">
        <v>29</v>
      </c>
      <c r="B69" s="22" t="s">
        <v>606</v>
      </c>
      <c r="C69" s="7">
        <v>200</v>
      </c>
      <c r="D69" s="7">
        <v>50</v>
      </c>
      <c r="E69" s="50">
        <v>3</v>
      </c>
      <c r="F69" s="50">
        <v>5</v>
      </c>
      <c r="G69" s="50">
        <f t="shared" si="3"/>
        <v>40</v>
      </c>
      <c r="H69" s="7">
        <f t="shared" si="4"/>
        <v>600</v>
      </c>
      <c r="I69" s="7">
        <f t="shared" si="5"/>
        <v>1000</v>
      </c>
      <c r="J69" s="7" t="s">
        <v>627</v>
      </c>
    </row>
    <row r="70" spans="1:10">
      <c r="A70" s="28" t="s">
        <v>29</v>
      </c>
      <c r="B70" s="1" t="s">
        <v>569</v>
      </c>
      <c r="C70" s="7">
        <v>200</v>
      </c>
      <c r="D70" s="7">
        <v>50</v>
      </c>
      <c r="E70" s="50">
        <v>3</v>
      </c>
      <c r="F70" s="50">
        <v>5</v>
      </c>
      <c r="G70" s="50">
        <f t="shared" si="3"/>
        <v>40</v>
      </c>
      <c r="H70" s="7">
        <f t="shared" si="4"/>
        <v>600</v>
      </c>
      <c r="I70" s="7">
        <f t="shared" si="5"/>
        <v>1000</v>
      </c>
      <c r="J70" s="7" t="s">
        <v>627</v>
      </c>
    </row>
    <row r="71" spans="1:10">
      <c r="A71" s="28" t="s">
        <v>29</v>
      </c>
      <c r="B71" s="1" t="s">
        <v>591</v>
      </c>
      <c r="C71" s="7">
        <v>300</v>
      </c>
      <c r="D71" s="7">
        <v>50</v>
      </c>
      <c r="E71" s="50">
        <v>3</v>
      </c>
      <c r="F71" s="50">
        <v>5</v>
      </c>
      <c r="G71" s="50">
        <f t="shared" si="3"/>
        <v>40</v>
      </c>
      <c r="H71" s="7">
        <f t="shared" si="4"/>
        <v>900</v>
      </c>
      <c r="I71" s="7">
        <f t="shared" si="5"/>
        <v>1500</v>
      </c>
      <c r="J71" s="7" t="s">
        <v>627</v>
      </c>
    </row>
    <row r="72" spans="1:10">
      <c r="A72" s="28" t="s">
        <v>29</v>
      </c>
      <c r="B72" s="1" t="s">
        <v>608</v>
      </c>
      <c r="C72" s="16">
        <v>300</v>
      </c>
      <c r="D72" s="7">
        <v>50</v>
      </c>
      <c r="E72" s="50">
        <v>3</v>
      </c>
      <c r="F72" s="50">
        <v>5</v>
      </c>
      <c r="G72" s="50">
        <f t="shared" si="3"/>
        <v>40</v>
      </c>
      <c r="H72" s="7">
        <f t="shared" si="4"/>
        <v>900</v>
      </c>
      <c r="I72" s="7">
        <f t="shared" si="5"/>
        <v>1500</v>
      </c>
      <c r="J72" s="7" t="s">
        <v>627</v>
      </c>
    </row>
    <row r="73" spans="1:10">
      <c r="A73" s="28" t="s">
        <v>29</v>
      </c>
      <c r="B73" s="1" t="s">
        <v>595</v>
      </c>
      <c r="C73" s="16">
        <v>300</v>
      </c>
      <c r="D73" s="7">
        <v>50</v>
      </c>
      <c r="E73" s="50">
        <v>3</v>
      </c>
      <c r="F73" s="50">
        <v>5</v>
      </c>
      <c r="G73" s="50">
        <f t="shared" si="3"/>
        <v>40</v>
      </c>
      <c r="H73" s="7">
        <f t="shared" si="4"/>
        <v>900</v>
      </c>
      <c r="I73" s="7">
        <f t="shared" si="5"/>
        <v>1500</v>
      </c>
      <c r="J73" s="7" t="s">
        <v>627</v>
      </c>
    </row>
    <row r="74" spans="1:10">
      <c r="A74" s="28" t="s">
        <v>29</v>
      </c>
      <c r="B74" s="1" t="s">
        <v>568</v>
      </c>
      <c r="C74" s="16">
        <v>100</v>
      </c>
      <c r="D74" s="7">
        <v>50</v>
      </c>
      <c r="E74" s="50">
        <v>3</v>
      </c>
      <c r="F74" s="50">
        <v>5</v>
      </c>
      <c r="G74" s="50">
        <f t="shared" si="3"/>
        <v>40</v>
      </c>
      <c r="H74" s="7">
        <f t="shared" si="4"/>
        <v>300</v>
      </c>
      <c r="I74" s="7">
        <f t="shared" si="5"/>
        <v>500</v>
      </c>
      <c r="J74" s="7" t="s">
        <v>627</v>
      </c>
    </row>
    <row r="75" spans="1:10">
      <c r="A75" s="28" t="s">
        <v>29</v>
      </c>
      <c r="B75" s="1" t="s">
        <v>571</v>
      </c>
      <c r="C75" s="16">
        <v>30</v>
      </c>
      <c r="D75" s="7">
        <v>50</v>
      </c>
      <c r="E75" s="50">
        <v>3</v>
      </c>
      <c r="F75" s="50">
        <v>5</v>
      </c>
      <c r="G75" s="50">
        <f t="shared" si="3"/>
        <v>40</v>
      </c>
      <c r="H75" s="7">
        <f t="shared" si="4"/>
        <v>90</v>
      </c>
      <c r="I75" s="7">
        <f t="shared" si="5"/>
        <v>150</v>
      </c>
      <c r="J75" s="7" t="s">
        <v>627</v>
      </c>
    </row>
    <row r="76" spans="1:10">
      <c r="A76" s="28" t="s">
        <v>29</v>
      </c>
      <c r="B76" s="1" t="s">
        <v>609</v>
      </c>
      <c r="C76" s="16">
        <v>70</v>
      </c>
      <c r="D76" s="7">
        <v>50</v>
      </c>
      <c r="E76" s="50">
        <v>3</v>
      </c>
      <c r="F76" s="50">
        <v>5</v>
      </c>
      <c r="G76" s="50">
        <f t="shared" si="3"/>
        <v>40</v>
      </c>
      <c r="H76" s="7">
        <f t="shared" si="4"/>
        <v>210</v>
      </c>
      <c r="I76" s="7">
        <f t="shared" si="5"/>
        <v>350</v>
      </c>
      <c r="J76" s="7" t="s">
        <v>627</v>
      </c>
    </row>
    <row r="77" spans="1:10">
      <c r="A77" s="28" t="s">
        <v>29</v>
      </c>
      <c r="B77" s="1" t="s">
        <v>601</v>
      </c>
      <c r="C77" s="16">
        <v>100</v>
      </c>
      <c r="D77" s="7">
        <v>50</v>
      </c>
      <c r="E77" s="50">
        <v>3</v>
      </c>
      <c r="F77" s="50">
        <v>5</v>
      </c>
      <c r="G77" s="50">
        <f t="shared" si="3"/>
        <v>40</v>
      </c>
      <c r="H77" s="7">
        <f t="shared" si="4"/>
        <v>300</v>
      </c>
      <c r="I77" s="7">
        <f t="shared" si="5"/>
        <v>500</v>
      </c>
      <c r="J77" s="7" t="s">
        <v>627</v>
      </c>
    </row>
    <row r="78" spans="1:10">
      <c r="A78" s="28" t="s">
        <v>29</v>
      </c>
      <c r="B78" s="1" t="s">
        <v>565</v>
      </c>
      <c r="C78" s="16">
        <v>200</v>
      </c>
      <c r="D78" s="7">
        <v>50</v>
      </c>
      <c r="E78" s="50">
        <v>3</v>
      </c>
      <c r="F78" s="50">
        <v>5</v>
      </c>
      <c r="G78" s="50">
        <f t="shared" si="3"/>
        <v>40</v>
      </c>
      <c r="H78" s="7">
        <f t="shared" si="4"/>
        <v>600</v>
      </c>
      <c r="I78" s="7">
        <f t="shared" si="5"/>
        <v>1000</v>
      </c>
      <c r="J78" s="7" t="s">
        <v>627</v>
      </c>
    </row>
    <row r="79" spans="1:10">
      <c r="A79" s="28" t="s">
        <v>29</v>
      </c>
      <c r="B79" s="1" t="s">
        <v>610</v>
      </c>
      <c r="C79" s="16">
        <v>100</v>
      </c>
      <c r="D79" s="7">
        <v>50</v>
      </c>
      <c r="E79" s="50">
        <v>3</v>
      </c>
      <c r="F79" s="50">
        <v>5</v>
      </c>
      <c r="G79" s="50">
        <f t="shared" si="3"/>
        <v>40</v>
      </c>
      <c r="H79" s="7">
        <f t="shared" si="4"/>
        <v>300</v>
      </c>
      <c r="I79" s="7">
        <f t="shared" si="5"/>
        <v>500</v>
      </c>
      <c r="J79" s="7" t="s">
        <v>627</v>
      </c>
    </row>
    <row r="80" spans="1:10">
      <c r="B80" s="1"/>
      <c r="C80" s="1"/>
      <c r="E80" s="50"/>
      <c r="F80" s="50"/>
      <c r="G80" s="50"/>
      <c r="H80" s="7"/>
      <c r="I80" s="7"/>
      <c r="J80" s="7"/>
    </row>
    <row r="81" spans="1:10">
      <c r="A81" s="28" t="s">
        <v>30</v>
      </c>
      <c r="B81" s="1" t="s">
        <v>595</v>
      </c>
      <c r="C81" s="7">
        <v>60</v>
      </c>
      <c r="D81" s="7">
        <v>20</v>
      </c>
      <c r="E81" s="50">
        <v>5</v>
      </c>
      <c r="F81" s="50">
        <v>15</v>
      </c>
      <c r="G81" s="50">
        <f t="shared" si="3"/>
        <v>66.666666666666671</v>
      </c>
      <c r="H81" s="7">
        <f t="shared" si="4"/>
        <v>300</v>
      </c>
      <c r="I81" s="7">
        <f t="shared" si="5"/>
        <v>900</v>
      </c>
      <c r="J81" s="7" t="s">
        <v>627</v>
      </c>
    </row>
    <row r="82" spans="1:10">
      <c r="A82" s="28" t="s">
        <v>30</v>
      </c>
      <c r="B82" s="1" t="s">
        <v>568</v>
      </c>
      <c r="C82" s="7">
        <v>0</v>
      </c>
      <c r="D82" s="7">
        <v>20</v>
      </c>
      <c r="E82" s="50">
        <v>5</v>
      </c>
      <c r="F82" s="50">
        <v>15</v>
      </c>
      <c r="G82" s="50">
        <f t="shared" si="3"/>
        <v>66.666666666666671</v>
      </c>
      <c r="H82" s="7">
        <f t="shared" si="4"/>
        <v>0</v>
      </c>
      <c r="I82" s="7">
        <f t="shared" si="5"/>
        <v>0</v>
      </c>
      <c r="J82" s="7" t="s">
        <v>627</v>
      </c>
    </row>
    <row r="83" spans="1:10">
      <c r="H83" s="52">
        <f>SUM(H2:H82)</f>
        <v>11269.1</v>
      </c>
      <c r="I83" s="52">
        <f>SUM(I2:I82)</f>
        <v>48091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Q66"/>
  <sheetViews>
    <sheetView workbookViewId="0">
      <selection activeCell="D23" sqref="D23"/>
    </sheetView>
  </sheetViews>
  <sheetFormatPr defaultRowHeight="15"/>
  <cols>
    <col min="1" max="1" width="26.28515625" style="37" bestFit="1" customWidth="1"/>
    <col min="2" max="2" width="9.42578125" customWidth="1"/>
    <col min="3" max="3" width="10.140625" bestFit="1" customWidth="1"/>
    <col min="4" max="4" width="10" bestFit="1" customWidth="1"/>
    <col min="12" max="12" width="11.28515625" customWidth="1"/>
    <col min="13" max="13" width="12.42578125" customWidth="1"/>
    <col min="14" max="14" width="15.5703125" customWidth="1"/>
  </cols>
  <sheetData>
    <row r="1" spans="1:17" ht="15.75" thickBot="1">
      <c r="C1" s="19" t="s">
        <v>474</v>
      </c>
      <c r="D1" s="46" t="s">
        <v>539</v>
      </c>
      <c r="E1" s="10" t="s">
        <v>612</v>
      </c>
      <c r="F1" s="12" t="s">
        <v>613</v>
      </c>
      <c r="G1" s="9" t="s">
        <v>641</v>
      </c>
      <c r="H1" s="51" t="s">
        <v>614</v>
      </c>
      <c r="J1" s="51" t="s">
        <v>626</v>
      </c>
    </row>
    <row r="2" spans="1:17">
      <c r="A2" s="28" t="s">
        <v>473</v>
      </c>
      <c r="B2" s="1" t="s">
        <v>100</v>
      </c>
      <c r="C2" s="7">
        <v>60</v>
      </c>
      <c r="D2" s="7">
        <v>50</v>
      </c>
      <c r="E2" s="7">
        <v>2</v>
      </c>
      <c r="F2" s="7">
        <v>5</v>
      </c>
      <c r="G2" s="50">
        <f>100-((E2/F2)*100)</f>
        <v>60</v>
      </c>
      <c r="H2" s="7">
        <f>+E2*C2</f>
        <v>120</v>
      </c>
      <c r="I2" s="7">
        <f>+F2*C2</f>
        <v>300</v>
      </c>
      <c r="J2" s="59" t="s">
        <v>628</v>
      </c>
      <c r="L2" s="4"/>
      <c r="M2" s="9"/>
      <c r="N2" s="9"/>
      <c r="O2" s="4"/>
    </row>
    <row r="3" spans="1:17">
      <c r="A3" s="28" t="s">
        <v>473</v>
      </c>
      <c r="B3" s="1" t="s">
        <v>102</v>
      </c>
      <c r="C3" s="7">
        <v>30</v>
      </c>
      <c r="D3" s="7">
        <v>10</v>
      </c>
      <c r="E3" s="7">
        <v>2</v>
      </c>
      <c r="F3" s="7">
        <v>5</v>
      </c>
      <c r="G3" s="50">
        <f t="shared" ref="G3:G20" si="0">100-((E3/F3)*100)</f>
        <v>60</v>
      </c>
      <c r="H3" s="7">
        <f t="shared" ref="H3:H20" si="1">+E3*C3</f>
        <v>60</v>
      </c>
      <c r="I3" s="7">
        <f t="shared" ref="I3:I20" si="2">+F3*C3</f>
        <v>150</v>
      </c>
      <c r="J3" s="60" t="s">
        <v>628</v>
      </c>
      <c r="L3" s="4"/>
      <c r="M3" s="4"/>
      <c r="N3" s="4"/>
      <c r="O3" s="4"/>
    </row>
    <row r="4" spans="1:17">
      <c r="A4" s="28" t="s">
        <v>473</v>
      </c>
      <c r="B4" s="1" t="s">
        <v>103</v>
      </c>
      <c r="C4" s="7">
        <v>30</v>
      </c>
      <c r="D4" s="7">
        <v>20</v>
      </c>
      <c r="E4" s="7">
        <v>4</v>
      </c>
      <c r="F4" s="7">
        <v>10</v>
      </c>
      <c r="G4" s="50">
        <f t="shared" si="0"/>
        <v>60</v>
      </c>
      <c r="H4" s="7">
        <f t="shared" si="1"/>
        <v>120</v>
      </c>
      <c r="I4" s="7">
        <f t="shared" si="2"/>
        <v>300</v>
      </c>
      <c r="J4" s="60" t="s">
        <v>628</v>
      </c>
      <c r="K4" s="4"/>
      <c r="L4" s="4"/>
      <c r="M4" s="4"/>
      <c r="N4" s="4"/>
      <c r="O4" s="4"/>
      <c r="P4" s="4"/>
      <c r="Q4" s="4"/>
    </row>
    <row r="5" spans="1:17">
      <c r="A5" s="28" t="s">
        <v>473</v>
      </c>
      <c r="B5" s="1" t="s">
        <v>104</v>
      </c>
      <c r="C5" s="7">
        <v>30</v>
      </c>
      <c r="D5" s="7">
        <v>20</v>
      </c>
      <c r="E5" s="7">
        <v>2</v>
      </c>
      <c r="F5" s="7">
        <v>5</v>
      </c>
      <c r="G5" s="50">
        <f t="shared" si="0"/>
        <v>60</v>
      </c>
      <c r="H5" s="7">
        <f t="shared" si="1"/>
        <v>60</v>
      </c>
      <c r="I5" s="7">
        <f t="shared" si="2"/>
        <v>150</v>
      </c>
      <c r="J5" s="60" t="s">
        <v>628</v>
      </c>
      <c r="K5" s="4"/>
      <c r="L5" s="4"/>
      <c r="M5" s="4"/>
      <c r="N5" s="4"/>
      <c r="O5" s="4"/>
      <c r="P5" s="4"/>
      <c r="Q5" s="4"/>
    </row>
    <row r="6" spans="1:17">
      <c r="A6" s="28" t="s">
        <v>473</v>
      </c>
      <c r="B6" s="1" t="s">
        <v>105</v>
      </c>
      <c r="C6" s="7">
        <v>300</v>
      </c>
      <c r="D6" s="7">
        <v>50</v>
      </c>
      <c r="E6" s="7">
        <v>2</v>
      </c>
      <c r="F6" s="7">
        <v>5</v>
      </c>
      <c r="G6" s="50">
        <f t="shared" si="0"/>
        <v>60</v>
      </c>
      <c r="H6" s="7">
        <f t="shared" si="1"/>
        <v>600</v>
      </c>
      <c r="I6" s="7">
        <f t="shared" si="2"/>
        <v>1500</v>
      </c>
      <c r="J6" s="60" t="s">
        <v>628</v>
      </c>
      <c r="K6" s="4"/>
      <c r="L6" s="4"/>
      <c r="M6" s="4"/>
      <c r="N6" s="4"/>
      <c r="O6" s="4"/>
      <c r="P6" s="4"/>
      <c r="Q6" s="4"/>
    </row>
    <row r="7" spans="1:17">
      <c r="A7" s="28" t="s">
        <v>473</v>
      </c>
      <c r="B7" s="1" t="s">
        <v>106</v>
      </c>
      <c r="C7" s="7">
        <v>50</v>
      </c>
      <c r="D7" s="7">
        <v>50</v>
      </c>
      <c r="E7" s="7">
        <v>2</v>
      </c>
      <c r="F7" s="7">
        <v>5</v>
      </c>
      <c r="G7" s="50">
        <f t="shared" si="0"/>
        <v>60</v>
      </c>
      <c r="H7" s="7">
        <f t="shared" si="1"/>
        <v>100</v>
      </c>
      <c r="I7" s="7">
        <f t="shared" si="2"/>
        <v>250</v>
      </c>
      <c r="J7" s="60" t="s">
        <v>628</v>
      </c>
      <c r="K7" s="4"/>
      <c r="L7" s="4"/>
      <c r="M7" s="4"/>
      <c r="N7" s="4"/>
      <c r="O7" s="4"/>
      <c r="P7" s="4"/>
      <c r="Q7" s="4"/>
    </row>
    <row r="8" spans="1:17">
      <c r="A8" s="28" t="s">
        <v>473</v>
      </c>
      <c r="B8" s="1" t="s">
        <v>107</v>
      </c>
      <c r="C8" s="7">
        <v>100</v>
      </c>
      <c r="D8" s="7">
        <v>50</v>
      </c>
      <c r="E8" s="7">
        <v>2</v>
      </c>
      <c r="F8" s="7">
        <v>5</v>
      </c>
      <c r="G8" s="50">
        <f t="shared" si="0"/>
        <v>60</v>
      </c>
      <c r="H8" s="7">
        <f t="shared" si="1"/>
        <v>200</v>
      </c>
      <c r="I8" s="7">
        <f t="shared" si="2"/>
        <v>500</v>
      </c>
      <c r="J8" s="60" t="s">
        <v>628</v>
      </c>
      <c r="K8" s="4"/>
      <c r="L8" s="4"/>
      <c r="M8" s="4"/>
      <c r="N8" s="4"/>
      <c r="O8" s="4"/>
      <c r="P8" s="4"/>
      <c r="Q8" s="4"/>
    </row>
    <row r="9" spans="1:17">
      <c r="A9" s="28" t="s">
        <v>473</v>
      </c>
      <c r="B9" s="1" t="s">
        <v>108</v>
      </c>
      <c r="C9" s="7">
        <v>50</v>
      </c>
      <c r="D9" s="7">
        <v>50</v>
      </c>
      <c r="E9" s="7">
        <v>2</v>
      </c>
      <c r="F9" s="7">
        <v>5</v>
      </c>
      <c r="G9" s="50">
        <f t="shared" si="0"/>
        <v>60</v>
      </c>
      <c r="H9" s="7">
        <f t="shared" si="1"/>
        <v>100</v>
      </c>
      <c r="I9" s="7">
        <f t="shared" si="2"/>
        <v>250</v>
      </c>
      <c r="J9" s="60" t="s">
        <v>628</v>
      </c>
      <c r="K9" s="4"/>
      <c r="L9" s="4"/>
      <c r="M9" s="4"/>
      <c r="N9" s="4"/>
      <c r="O9" s="4"/>
      <c r="P9" s="4"/>
      <c r="Q9" s="4"/>
    </row>
    <row r="10" spans="1:17">
      <c r="A10" s="28" t="s">
        <v>473</v>
      </c>
      <c r="B10" s="1" t="s">
        <v>101</v>
      </c>
      <c r="C10" s="7">
        <v>0</v>
      </c>
      <c r="D10" s="7">
        <v>10</v>
      </c>
      <c r="E10" s="7">
        <v>4</v>
      </c>
      <c r="F10" s="7">
        <v>10</v>
      </c>
      <c r="G10" s="50">
        <f t="shared" si="0"/>
        <v>60</v>
      </c>
      <c r="H10" s="7">
        <f t="shared" si="1"/>
        <v>0</v>
      </c>
      <c r="I10" s="7">
        <f t="shared" si="2"/>
        <v>0</v>
      </c>
      <c r="J10" s="60" t="s">
        <v>628</v>
      </c>
      <c r="K10" s="4"/>
      <c r="L10" s="4"/>
      <c r="M10" s="4"/>
      <c r="N10" s="4"/>
      <c r="O10" s="4"/>
      <c r="P10" s="4"/>
      <c r="Q10" s="4"/>
    </row>
    <row r="11" spans="1:17">
      <c r="A11" s="28" t="s">
        <v>473</v>
      </c>
      <c r="B11" s="2" t="s">
        <v>110</v>
      </c>
      <c r="C11" s="7">
        <v>40</v>
      </c>
      <c r="D11" s="7">
        <v>20</v>
      </c>
      <c r="E11" s="7">
        <v>2</v>
      </c>
      <c r="F11" s="7">
        <v>5</v>
      </c>
      <c r="G11" s="50">
        <f t="shared" si="0"/>
        <v>60</v>
      </c>
      <c r="H11" s="7">
        <f t="shared" si="1"/>
        <v>80</v>
      </c>
      <c r="I11" s="7">
        <f t="shared" si="2"/>
        <v>200</v>
      </c>
      <c r="J11" s="60" t="s">
        <v>628</v>
      </c>
      <c r="K11" s="4"/>
      <c r="L11" s="4"/>
      <c r="M11" s="4"/>
      <c r="N11" s="4"/>
      <c r="O11" s="4"/>
      <c r="P11" s="4"/>
      <c r="Q11" s="4"/>
    </row>
    <row r="12" spans="1:17">
      <c r="A12" s="28" t="s">
        <v>473</v>
      </c>
      <c r="B12" s="1" t="s">
        <v>111</v>
      </c>
      <c r="C12" s="7">
        <v>50</v>
      </c>
      <c r="D12" s="7">
        <v>50</v>
      </c>
      <c r="E12" s="7">
        <v>2</v>
      </c>
      <c r="F12" s="7">
        <v>5</v>
      </c>
      <c r="G12" s="50">
        <f t="shared" si="0"/>
        <v>60</v>
      </c>
      <c r="H12" s="7">
        <f t="shared" si="1"/>
        <v>100</v>
      </c>
      <c r="I12" s="7">
        <f t="shared" si="2"/>
        <v>250</v>
      </c>
      <c r="J12" s="60" t="s">
        <v>628</v>
      </c>
      <c r="K12" s="4"/>
      <c r="L12" s="4"/>
      <c r="M12" s="4"/>
      <c r="N12" s="4"/>
      <c r="O12" s="4"/>
      <c r="P12" s="4"/>
      <c r="Q12" s="4"/>
    </row>
    <row r="13" spans="1:17">
      <c r="A13" s="28" t="s">
        <v>473</v>
      </c>
      <c r="B13" s="2" t="s">
        <v>112</v>
      </c>
      <c r="C13" s="7">
        <v>1</v>
      </c>
      <c r="D13" s="7">
        <v>10</v>
      </c>
      <c r="E13" s="7">
        <v>8</v>
      </c>
      <c r="F13" s="7">
        <v>20</v>
      </c>
      <c r="G13" s="50">
        <f t="shared" si="0"/>
        <v>60</v>
      </c>
      <c r="H13" s="7">
        <f t="shared" si="1"/>
        <v>8</v>
      </c>
      <c r="I13" s="7">
        <f t="shared" si="2"/>
        <v>20</v>
      </c>
      <c r="J13" s="60" t="s">
        <v>628</v>
      </c>
      <c r="K13" s="4"/>
      <c r="L13" s="4"/>
      <c r="M13" s="4"/>
      <c r="N13" s="4"/>
      <c r="O13" s="4"/>
      <c r="P13" s="4"/>
      <c r="Q13" s="4"/>
    </row>
    <row r="14" spans="1:17">
      <c r="A14" s="28" t="s">
        <v>473</v>
      </c>
      <c r="B14" s="1" t="s">
        <v>96</v>
      </c>
      <c r="C14" s="7">
        <v>300</v>
      </c>
      <c r="D14" s="7">
        <v>50</v>
      </c>
      <c r="E14" s="7">
        <v>2</v>
      </c>
      <c r="F14" s="7">
        <v>5</v>
      </c>
      <c r="G14" s="50">
        <f t="shared" si="0"/>
        <v>60</v>
      </c>
      <c r="H14" s="7">
        <f t="shared" si="1"/>
        <v>600</v>
      </c>
      <c r="I14" s="7">
        <f t="shared" si="2"/>
        <v>1500</v>
      </c>
      <c r="J14" s="60" t="s">
        <v>628</v>
      </c>
      <c r="K14" s="4"/>
      <c r="L14" s="4"/>
      <c r="M14" s="4"/>
      <c r="N14" s="4"/>
      <c r="O14" s="4"/>
      <c r="P14" s="4"/>
      <c r="Q14" s="4"/>
    </row>
    <row r="15" spans="1:17">
      <c r="A15" s="28" t="s">
        <v>473</v>
      </c>
      <c r="B15" s="2" t="s">
        <v>113</v>
      </c>
      <c r="C15" s="7">
        <v>13</v>
      </c>
      <c r="D15" s="7">
        <v>10</v>
      </c>
      <c r="E15" s="7">
        <v>8</v>
      </c>
      <c r="F15" s="7">
        <v>20</v>
      </c>
      <c r="G15" s="50">
        <f t="shared" si="0"/>
        <v>60</v>
      </c>
      <c r="H15" s="7">
        <f t="shared" si="1"/>
        <v>104</v>
      </c>
      <c r="I15" s="7">
        <f t="shared" si="2"/>
        <v>260</v>
      </c>
      <c r="J15" s="60" t="s">
        <v>628</v>
      </c>
      <c r="K15" s="4"/>
      <c r="L15" s="4"/>
      <c r="M15" s="4"/>
      <c r="N15" s="4"/>
      <c r="O15" s="4"/>
      <c r="P15" s="4"/>
      <c r="Q15" s="4"/>
    </row>
    <row r="16" spans="1:17">
      <c r="A16" s="28" t="s">
        <v>473</v>
      </c>
      <c r="B16" s="1" t="s">
        <v>99</v>
      </c>
      <c r="C16" s="7">
        <v>200</v>
      </c>
      <c r="D16" s="7">
        <v>50</v>
      </c>
      <c r="E16" s="7">
        <v>2</v>
      </c>
      <c r="F16" s="7">
        <v>5</v>
      </c>
      <c r="G16" s="50">
        <f t="shared" si="0"/>
        <v>60</v>
      </c>
      <c r="H16" s="7">
        <f t="shared" si="1"/>
        <v>400</v>
      </c>
      <c r="I16" s="7">
        <f t="shared" si="2"/>
        <v>1000</v>
      </c>
      <c r="J16" s="60" t="s">
        <v>628</v>
      </c>
      <c r="K16" s="4"/>
      <c r="L16" s="4"/>
      <c r="M16" s="4"/>
      <c r="N16" s="4"/>
      <c r="O16" s="4"/>
      <c r="P16" s="4"/>
      <c r="Q16" s="4"/>
    </row>
    <row r="17" spans="1:17">
      <c r="A17" s="28" t="s">
        <v>473</v>
      </c>
      <c r="B17" s="1" t="s">
        <v>114</v>
      </c>
      <c r="C17" s="7">
        <v>150</v>
      </c>
      <c r="D17" s="7">
        <v>50</v>
      </c>
      <c r="E17" s="7">
        <v>2</v>
      </c>
      <c r="F17" s="7">
        <v>5</v>
      </c>
      <c r="G17" s="50">
        <f t="shared" si="0"/>
        <v>60</v>
      </c>
      <c r="H17" s="7">
        <f t="shared" si="1"/>
        <v>300</v>
      </c>
      <c r="I17" s="7">
        <f t="shared" si="2"/>
        <v>750</v>
      </c>
      <c r="J17" s="60" t="s">
        <v>628</v>
      </c>
      <c r="K17" s="4"/>
      <c r="L17" s="4"/>
      <c r="M17" s="4"/>
      <c r="N17" s="4"/>
      <c r="O17" s="4"/>
      <c r="P17" s="4"/>
      <c r="Q17" s="4"/>
    </row>
    <row r="18" spans="1:17">
      <c r="A18" s="28" t="s">
        <v>473</v>
      </c>
      <c r="B18" s="1" t="s">
        <v>115</v>
      </c>
      <c r="C18" s="7">
        <v>30</v>
      </c>
      <c r="D18" s="7">
        <v>50</v>
      </c>
      <c r="E18" s="7">
        <v>2</v>
      </c>
      <c r="F18" s="7">
        <v>5</v>
      </c>
      <c r="G18" s="50">
        <f t="shared" si="0"/>
        <v>60</v>
      </c>
      <c r="H18" s="7">
        <f t="shared" si="1"/>
        <v>60</v>
      </c>
      <c r="I18" s="7">
        <f t="shared" si="2"/>
        <v>150</v>
      </c>
      <c r="J18" s="60" t="s">
        <v>628</v>
      </c>
      <c r="K18" s="4"/>
      <c r="L18" s="4"/>
      <c r="M18" s="4"/>
      <c r="N18" s="4"/>
      <c r="O18" s="4"/>
      <c r="P18" s="4"/>
      <c r="Q18" s="4"/>
    </row>
    <row r="19" spans="1:17">
      <c r="A19" s="28" t="s">
        <v>473</v>
      </c>
      <c r="B19" s="1" t="s">
        <v>116</v>
      </c>
      <c r="C19" s="7">
        <v>20</v>
      </c>
      <c r="D19" s="7">
        <v>50</v>
      </c>
      <c r="E19" s="7">
        <v>2</v>
      </c>
      <c r="F19" s="7">
        <v>5</v>
      </c>
      <c r="G19" s="50">
        <f t="shared" si="0"/>
        <v>60</v>
      </c>
      <c r="H19" s="7">
        <f t="shared" si="1"/>
        <v>40</v>
      </c>
      <c r="I19" s="7">
        <f t="shared" si="2"/>
        <v>100</v>
      </c>
      <c r="J19" s="60" t="s">
        <v>628</v>
      </c>
      <c r="K19" s="4"/>
      <c r="L19" s="4"/>
      <c r="M19" s="4"/>
      <c r="N19" s="4"/>
      <c r="O19" s="4"/>
      <c r="P19" s="4"/>
      <c r="Q19" s="4"/>
    </row>
    <row r="20" spans="1:17">
      <c r="A20" s="28" t="s">
        <v>473</v>
      </c>
      <c r="B20" s="1" t="s">
        <v>117</v>
      </c>
      <c r="C20" s="7">
        <v>300</v>
      </c>
      <c r="D20" s="7">
        <v>50</v>
      </c>
      <c r="E20" s="7">
        <v>2</v>
      </c>
      <c r="F20" s="7">
        <v>5</v>
      </c>
      <c r="G20" s="50">
        <f t="shared" si="0"/>
        <v>60</v>
      </c>
      <c r="H20" s="7">
        <f t="shared" si="1"/>
        <v>600</v>
      </c>
      <c r="I20" s="7">
        <f t="shared" si="2"/>
        <v>1500</v>
      </c>
      <c r="J20" s="60" t="s">
        <v>628</v>
      </c>
      <c r="K20" s="4"/>
      <c r="L20" s="4"/>
      <c r="M20" s="4"/>
      <c r="N20" s="4"/>
      <c r="O20" s="4"/>
      <c r="P20" s="4"/>
      <c r="Q20" s="4"/>
    </row>
    <row r="21" spans="1:17">
      <c r="H21" s="53">
        <f>SUM(H2:H20)</f>
        <v>3652</v>
      </c>
      <c r="I21" s="53">
        <f>SUM(I2:I20)</f>
        <v>9130</v>
      </c>
      <c r="K21" s="4"/>
      <c r="L21" s="4"/>
      <c r="M21" s="4"/>
      <c r="N21" s="4"/>
      <c r="O21" s="4"/>
      <c r="P21" s="4"/>
      <c r="Q21" s="4"/>
    </row>
    <row r="22" spans="1:17" ht="15.75" thickBot="1"/>
    <row r="23" spans="1:17" ht="15.75" thickBot="1">
      <c r="L23" s="25"/>
      <c r="M23" s="25" t="s">
        <v>472</v>
      </c>
      <c r="N23" s="25"/>
      <c r="O23" s="25"/>
    </row>
    <row r="24" spans="1:17">
      <c r="L24" s="6" t="s">
        <v>38</v>
      </c>
      <c r="M24" s="10" t="s">
        <v>31</v>
      </c>
      <c r="N24" s="11" t="s">
        <v>32</v>
      </c>
      <c r="O24" s="12" t="s">
        <v>33</v>
      </c>
    </row>
    <row r="25" spans="1:17">
      <c r="L25" s="13">
        <v>203</v>
      </c>
      <c r="M25" s="13" t="s">
        <v>41</v>
      </c>
      <c r="N25" s="13" t="s">
        <v>42</v>
      </c>
      <c r="O25" s="7" t="s">
        <v>44</v>
      </c>
    </row>
    <row r="26" spans="1:17">
      <c r="L26" s="13">
        <v>224</v>
      </c>
      <c r="M26" s="13" t="s">
        <v>39</v>
      </c>
      <c r="N26" s="13" t="s">
        <v>40</v>
      </c>
      <c r="O26" s="7" t="s">
        <v>44</v>
      </c>
    </row>
    <row r="27" spans="1:17">
      <c r="L27" s="13">
        <v>103</v>
      </c>
      <c r="M27" s="15" t="s">
        <v>63</v>
      </c>
      <c r="N27" s="13" t="s">
        <v>43</v>
      </c>
      <c r="O27" s="7" t="s">
        <v>44</v>
      </c>
    </row>
    <row r="28" spans="1:17">
      <c r="L28" s="13">
        <v>222</v>
      </c>
      <c r="M28" s="13" t="s">
        <v>45</v>
      </c>
      <c r="N28" s="13" t="s">
        <v>46</v>
      </c>
      <c r="O28" s="7" t="s">
        <v>44</v>
      </c>
    </row>
    <row r="29" spans="1:17">
      <c r="L29" s="13">
        <v>104</v>
      </c>
      <c r="M29" s="13" t="s">
        <v>60</v>
      </c>
      <c r="N29" s="13" t="s">
        <v>59</v>
      </c>
      <c r="O29" s="8"/>
    </row>
    <row r="30" spans="1:17">
      <c r="L30" s="16">
        <v>332</v>
      </c>
      <c r="M30" s="16" t="s">
        <v>79</v>
      </c>
      <c r="N30" s="16" t="s">
        <v>78</v>
      </c>
      <c r="O30" s="7" t="s">
        <v>80</v>
      </c>
    </row>
    <row r="31" spans="1:17">
      <c r="L31" s="13">
        <v>102</v>
      </c>
      <c r="M31" s="13" t="s">
        <v>49</v>
      </c>
      <c r="N31" s="13" t="s">
        <v>67</v>
      </c>
      <c r="O31" s="13" t="s">
        <v>47</v>
      </c>
    </row>
    <row r="32" spans="1:17">
      <c r="L32" s="13">
        <v>403</v>
      </c>
      <c r="M32" s="13" t="s">
        <v>51</v>
      </c>
      <c r="N32" s="13" t="s">
        <v>50</v>
      </c>
      <c r="O32" s="7"/>
    </row>
    <row r="33" spans="12:15">
      <c r="L33" s="7">
        <v>182</v>
      </c>
      <c r="M33" s="7" t="s">
        <v>70</v>
      </c>
      <c r="N33" s="7" t="s">
        <v>68</v>
      </c>
      <c r="O33" s="7"/>
    </row>
    <row r="34" spans="12:15">
      <c r="L34" s="7">
        <v>152</v>
      </c>
      <c r="M34" s="7" t="s">
        <v>71</v>
      </c>
      <c r="N34" s="7" t="s">
        <v>69</v>
      </c>
      <c r="O34" s="7"/>
    </row>
    <row r="35" spans="12:15">
      <c r="L35" s="7">
        <v>502</v>
      </c>
      <c r="M35" s="7" t="s">
        <v>72</v>
      </c>
      <c r="N35" s="7" t="s">
        <v>73</v>
      </c>
      <c r="O35" s="7"/>
    </row>
    <row r="36" spans="12:15">
      <c r="L36" s="7">
        <v>392</v>
      </c>
      <c r="M36" s="7" t="s">
        <v>74</v>
      </c>
      <c r="N36" s="7" t="s">
        <v>75</v>
      </c>
      <c r="O36" s="7"/>
    </row>
    <row r="37" spans="12:15">
      <c r="L37" s="7">
        <v>682</v>
      </c>
      <c r="M37" s="7" t="s">
        <v>76</v>
      </c>
      <c r="N37" s="7" t="s">
        <v>77</v>
      </c>
      <c r="O37" s="7"/>
    </row>
    <row r="38" spans="12:15">
      <c r="L38" s="7">
        <v>562</v>
      </c>
      <c r="M38" s="7" t="s">
        <v>94</v>
      </c>
      <c r="N38" s="7" t="s">
        <v>95</v>
      </c>
      <c r="O38" s="8"/>
    </row>
    <row r="39" spans="12:15">
      <c r="L39" s="16">
        <v>473</v>
      </c>
      <c r="M39" s="16" t="s">
        <v>82</v>
      </c>
      <c r="N39" s="16" t="s">
        <v>81</v>
      </c>
      <c r="O39" s="7"/>
    </row>
    <row r="40" spans="12:15">
      <c r="L40" s="16">
        <v>821</v>
      </c>
      <c r="M40" s="16"/>
      <c r="N40" s="16"/>
      <c r="O40" s="7" t="s">
        <v>83</v>
      </c>
    </row>
    <row r="41" spans="12:15">
      <c r="L41" s="16"/>
      <c r="M41" s="16"/>
      <c r="N41" s="16"/>
      <c r="O41" s="7" t="s">
        <v>84</v>
      </c>
    </row>
    <row r="42" spans="12:15">
      <c r="L42" s="16">
        <v>331</v>
      </c>
      <c r="M42" s="16"/>
      <c r="N42" s="16"/>
      <c r="O42" s="7" t="s">
        <v>85</v>
      </c>
    </row>
    <row r="43" spans="12:15">
      <c r="L43" s="16">
        <v>101</v>
      </c>
      <c r="M43" s="16"/>
      <c r="N43" s="16" t="s">
        <v>86</v>
      </c>
      <c r="O43" s="7" t="s">
        <v>87</v>
      </c>
    </row>
    <row r="44" spans="12:15">
      <c r="L44" s="16"/>
      <c r="M44" s="16"/>
      <c r="N44" s="16"/>
      <c r="O44" s="7" t="s">
        <v>88</v>
      </c>
    </row>
    <row r="45" spans="12:15">
      <c r="L45" s="16"/>
      <c r="M45" s="16"/>
      <c r="N45" s="16"/>
      <c r="O45" s="7" t="s">
        <v>89</v>
      </c>
    </row>
    <row r="46" spans="12:15">
      <c r="L46" s="7"/>
      <c r="M46" s="7"/>
      <c r="N46" s="7"/>
      <c r="O46" s="7" t="s">
        <v>90</v>
      </c>
    </row>
    <row r="47" spans="12:15">
      <c r="L47" s="7">
        <v>121</v>
      </c>
      <c r="M47" s="7"/>
      <c r="N47" s="7"/>
      <c r="O47" s="7" t="s">
        <v>91</v>
      </c>
    </row>
    <row r="48" spans="12:15">
      <c r="L48" s="7"/>
      <c r="M48" s="7"/>
      <c r="N48" s="7"/>
      <c r="O48" s="7" t="s">
        <v>92</v>
      </c>
    </row>
    <row r="49" spans="12:15">
      <c r="L49" s="7"/>
      <c r="M49" s="7"/>
      <c r="N49" s="7"/>
      <c r="O49" s="7" t="s">
        <v>93</v>
      </c>
    </row>
    <row r="50" spans="12:15">
      <c r="L50" s="8"/>
      <c r="M50" s="8"/>
      <c r="N50" s="8"/>
      <c r="O50" s="7"/>
    </row>
    <row r="51" spans="12:15">
      <c r="L51" s="7"/>
      <c r="M51" s="7"/>
      <c r="N51" s="7"/>
      <c r="O51" s="13" t="s">
        <v>52</v>
      </c>
    </row>
    <row r="52" spans="12:15">
      <c r="L52" s="7"/>
      <c r="M52" s="7"/>
      <c r="N52" s="7"/>
      <c r="O52" s="13" t="s">
        <v>37</v>
      </c>
    </row>
    <row r="53" spans="12:15">
      <c r="L53" s="7"/>
      <c r="M53" s="7"/>
      <c r="N53" s="7"/>
      <c r="O53" s="13" t="s">
        <v>35</v>
      </c>
    </row>
    <row r="54" spans="12:15">
      <c r="L54" s="7"/>
      <c r="M54" s="7"/>
      <c r="N54" s="7"/>
      <c r="O54" s="13" t="s">
        <v>53</v>
      </c>
    </row>
    <row r="55" spans="12:15">
      <c r="L55" s="7"/>
      <c r="M55" s="7"/>
      <c r="N55" s="7"/>
      <c r="O55" s="13" t="s">
        <v>54</v>
      </c>
    </row>
    <row r="56" spans="12:15">
      <c r="L56" s="7">
        <v>471</v>
      </c>
      <c r="M56" s="7"/>
      <c r="N56" s="7"/>
      <c r="O56" s="13" t="s">
        <v>55</v>
      </c>
    </row>
    <row r="57" spans="12:15">
      <c r="L57" s="7"/>
      <c r="M57" s="7"/>
      <c r="N57" s="7"/>
      <c r="O57" s="13" t="s">
        <v>56</v>
      </c>
    </row>
    <row r="58" spans="12:15">
      <c r="L58" s="7"/>
      <c r="M58" s="7"/>
      <c r="N58" s="7"/>
      <c r="O58" s="13" t="s">
        <v>57</v>
      </c>
    </row>
    <row r="59" spans="12:15">
      <c r="L59" s="7"/>
      <c r="M59" s="7"/>
      <c r="N59" s="7"/>
      <c r="O59" s="13" t="s">
        <v>58</v>
      </c>
    </row>
    <row r="60" spans="12:15">
      <c r="L60" s="7"/>
      <c r="M60" s="7"/>
      <c r="N60" s="7"/>
      <c r="O60" s="13" t="s">
        <v>61</v>
      </c>
    </row>
    <row r="61" spans="12:15">
      <c r="L61" s="7"/>
      <c r="M61" s="7"/>
      <c r="N61" s="7"/>
      <c r="O61" s="13" t="s">
        <v>62</v>
      </c>
    </row>
    <row r="62" spans="12:15">
      <c r="L62" s="7">
        <v>181</v>
      </c>
      <c r="M62" s="7"/>
      <c r="N62" s="7"/>
      <c r="O62" s="13" t="s">
        <v>64</v>
      </c>
    </row>
    <row r="63" spans="12:15">
      <c r="L63" s="7"/>
      <c r="M63" s="7"/>
      <c r="N63" s="7"/>
      <c r="O63" s="14" t="s">
        <v>65</v>
      </c>
    </row>
    <row r="64" spans="12:15">
      <c r="L64" s="7"/>
      <c r="M64" s="7"/>
      <c r="N64" s="7"/>
      <c r="O64" s="14" t="s">
        <v>66</v>
      </c>
    </row>
    <row r="65" spans="12:15">
      <c r="L65" s="7"/>
      <c r="M65" s="7"/>
      <c r="N65" s="7"/>
      <c r="O65" s="13" t="s">
        <v>34</v>
      </c>
    </row>
    <row r="66" spans="12:15">
      <c r="L66" s="7"/>
      <c r="M66" s="7"/>
      <c r="N66" s="7"/>
      <c r="O66" s="13" t="s">
        <v>36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L109"/>
  <sheetViews>
    <sheetView topLeftCell="A8" workbookViewId="0">
      <selection activeCell="B16" sqref="B16"/>
    </sheetView>
  </sheetViews>
  <sheetFormatPr defaultRowHeight="15"/>
  <cols>
    <col min="1" max="1" width="19.85546875" style="37" bestFit="1" customWidth="1"/>
    <col min="2" max="2" width="14.85546875" style="37" customWidth="1"/>
    <col min="3" max="3" width="10.7109375" bestFit="1" customWidth="1"/>
    <col min="4" max="4" width="10.5703125" style="8" bestFit="1" customWidth="1"/>
    <col min="5" max="5" width="10.140625" customWidth="1"/>
    <col min="10" max="10" width="23.7109375" bestFit="1" customWidth="1"/>
    <col min="12" max="12" width="23.7109375" bestFit="1" customWidth="1"/>
  </cols>
  <sheetData>
    <row r="1" spans="1:10" ht="15.75" thickBot="1">
      <c r="B1" s="38"/>
      <c r="C1" s="3" t="s">
        <v>475</v>
      </c>
      <c r="D1" s="35" t="s">
        <v>542</v>
      </c>
      <c r="E1" s="10" t="s">
        <v>612</v>
      </c>
      <c r="F1" s="12" t="s">
        <v>613</v>
      </c>
      <c r="G1" s="9" t="s">
        <v>641</v>
      </c>
      <c r="H1" s="51" t="s">
        <v>614</v>
      </c>
      <c r="I1" s="51" t="s">
        <v>615</v>
      </c>
      <c r="J1" s="51" t="s">
        <v>626</v>
      </c>
    </row>
    <row r="2" spans="1:10">
      <c r="A2" s="28" t="s">
        <v>119</v>
      </c>
      <c r="B2" s="39" t="s">
        <v>135</v>
      </c>
      <c r="C2" s="18">
        <v>30</v>
      </c>
      <c r="D2" s="18">
        <v>20</v>
      </c>
      <c r="E2" s="7">
        <v>10</v>
      </c>
      <c r="F2" s="7">
        <v>30</v>
      </c>
      <c r="G2" s="50">
        <f>100-((E2/F2)*100)</f>
        <v>66.666666666666671</v>
      </c>
      <c r="H2" s="7">
        <f>+E2*C2</f>
        <v>300</v>
      </c>
      <c r="I2" s="7">
        <f>+F2*C2</f>
        <v>900</v>
      </c>
      <c r="J2" s="16">
        <v>594</v>
      </c>
    </row>
    <row r="3" spans="1:10">
      <c r="A3" s="28" t="s">
        <v>119</v>
      </c>
      <c r="B3" s="40" t="s">
        <v>136</v>
      </c>
      <c r="C3" s="7">
        <v>11</v>
      </c>
      <c r="D3" s="7">
        <v>5</v>
      </c>
      <c r="E3" s="7">
        <v>15</v>
      </c>
      <c r="F3" s="7">
        <v>40</v>
      </c>
      <c r="G3" s="50">
        <f t="shared" ref="G3:G67" si="0">100-((E3/F3)*100)</f>
        <v>62.5</v>
      </c>
      <c r="H3" s="7">
        <f t="shared" ref="H3:H67" si="1">+E3*C3</f>
        <v>165</v>
      </c>
      <c r="I3" s="7">
        <f t="shared" ref="I3:I67" si="2">+F3*C3</f>
        <v>440</v>
      </c>
      <c r="J3" s="16">
        <v>594</v>
      </c>
    </row>
    <row r="4" spans="1:10">
      <c r="A4" s="28" t="s">
        <v>119</v>
      </c>
      <c r="B4" s="40" t="s">
        <v>137</v>
      </c>
      <c r="C4" s="7">
        <v>4</v>
      </c>
      <c r="D4" s="7">
        <v>0</v>
      </c>
      <c r="E4" s="7">
        <v>45</v>
      </c>
      <c r="F4" s="7">
        <v>90</v>
      </c>
      <c r="G4" s="50">
        <f t="shared" si="0"/>
        <v>50</v>
      </c>
      <c r="H4" s="7">
        <f t="shared" si="1"/>
        <v>180</v>
      </c>
      <c r="I4" s="7">
        <f t="shared" si="2"/>
        <v>360</v>
      </c>
      <c r="J4" s="16">
        <v>594</v>
      </c>
    </row>
    <row r="5" spans="1:10">
      <c r="A5" s="28" t="s">
        <v>133</v>
      </c>
      <c r="B5" s="39" t="s">
        <v>132</v>
      </c>
      <c r="C5" s="7">
        <v>50</v>
      </c>
      <c r="D5" s="7">
        <v>5</v>
      </c>
      <c r="E5" s="7">
        <v>10</v>
      </c>
      <c r="F5" s="7">
        <v>30</v>
      </c>
      <c r="G5" s="50">
        <f t="shared" si="0"/>
        <v>66.666666666666671</v>
      </c>
      <c r="H5" s="7">
        <f t="shared" si="1"/>
        <v>500</v>
      </c>
      <c r="I5" s="7">
        <f t="shared" si="2"/>
        <v>1500</v>
      </c>
      <c r="J5" s="16">
        <v>594</v>
      </c>
    </row>
    <row r="6" spans="1:10">
      <c r="A6" s="28" t="s">
        <v>133</v>
      </c>
      <c r="B6" s="40" t="s">
        <v>134</v>
      </c>
      <c r="C6" s="7">
        <v>50</v>
      </c>
      <c r="D6" s="7">
        <v>5</v>
      </c>
      <c r="E6" s="7">
        <v>10</v>
      </c>
      <c r="F6" s="7">
        <v>30</v>
      </c>
      <c r="G6" s="50">
        <f t="shared" si="0"/>
        <v>66.666666666666671</v>
      </c>
      <c r="H6" s="7">
        <f t="shared" si="1"/>
        <v>500</v>
      </c>
      <c r="I6" s="7">
        <f t="shared" si="2"/>
        <v>1500</v>
      </c>
      <c r="J6" s="16">
        <v>594</v>
      </c>
    </row>
    <row r="7" spans="1:10">
      <c r="A7" s="28" t="s">
        <v>120</v>
      </c>
      <c r="B7" s="39" t="s">
        <v>122</v>
      </c>
      <c r="C7" s="7">
        <v>12</v>
      </c>
      <c r="D7" s="7">
        <v>10</v>
      </c>
      <c r="E7" s="7">
        <v>40</v>
      </c>
      <c r="F7" s="7">
        <v>60</v>
      </c>
      <c r="G7" s="50">
        <f t="shared" si="0"/>
        <v>33.333333333333343</v>
      </c>
      <c r="H7" s="7">
        <f t="shared" si="1"/>
        <v>480</v>
      </c>
      <c r="I7" s="7">
        <f t="shared" si="2"/>
        <v>720</v>
      </c>
      <c r="J7" s="16">
        <v>594</v>
      </c>
    </row>
    <row r="8" spans="1:10">
      <c r="A8" s="28" t="s">
        <v>120</v>
      </c>
      <c r="B8" s="40" t="s">
        <v>123</v>
      </c>
      <c r="C8" s="7">
        <v>2</v>
      </c>
      <c r="D8" s="7">
        <v>0</v>
      </c>
      <c r="E8" s="7">
        <v>110</v>
      </c>
      <c r="F8" s="7">
        <v>160</v>
      </c>
      <c r="G8" s="50">
        <f t="shared" si="0"/>
        <v>31.25</v>
      </c>
      <c r="H8" s="7">
        <f t="shared" si="1"/>
        <v>220</v>
      </c>
      <c r="I8" s="7">
        <f t="shared" si="2"/>
        <v>320</v>
      </c>
      <c r="J8" s="16">
        <v>594</v>
      </c>
    </row>
    <row r="9" spans="1:10">
      <c r="A9" s="28" t="s">
        <v>120</v>
      </c>
      <c r="B9" s="40" t="s">
        <v>124</v>
      </c>
      <c r="C9" s="7">
        <v>0</v>
      </c>
      <c r="D9" s="7">
        <v>0</v>
      </c>
      <c r="E9" s="7">
        <v>110</v>
      </c>
      <c r="F9" s="7">
        <v>160</v>
      </c>
      <c r="G9" s="50">
        <f t="shared" si="0"/>
        <v>31.25</v>
      </c>
      <c r="H9" s="7">
        <f t="shared" si="1"/>
        <v>0</v>
      </c>
      <c r="I9" s="7">
        <f t="shared" si="2"/>
        <v>0</v>
      </c>
      <c r="J9" s="16">
        <v>594</v>
      </c>
    </row>
    <row r="10" spans="1:10">
      <c r="A10" s="28" t="s">
        <v>120</v>
      </c>
      <c r="B10" s="40" t="s">
        <v>125</v>
      </c>
      <c r="C10" s="7">
        <v>10</v>
      </c>
      <c r="D10" s="7">
        <v>10</v>
      </c>
      <c r="E10" s="7">
        <v>60</v>
      </c>
      <c r="F10" s="7">
        <v>90</v>
      </c>
      <c r="G10" s="50">
        <f t="shared" si="0"/>
        <v>33.333333333333343</v>
      </c>
      <c r="H10" s="7">
        <f t="shared" si="1"/>
        <v>600</v>
      </c>
      <c r="I10" s="7">
        <f t="shared" si="2"/>
        <v>900</v>
      </c>
      <c r="J10" s="16">
        <v>594</v>
      </c>
    </row>
    <row r="11" spans="1:10" s="100" customFormat="1">
      <c r="A11" s="42" t="s">
        <v>120</v>
      </c>
      <c r="B11" s="124" t="s">
        <v>126</v>
      </c>
      <c r="C11" s="14">
        <v>30</v>
      </c>
      <c r="D11" s="16">
        <v>10</v>
      </c>
      <c r="E11" s="16">
        <v>100</v>
      </c>
      <c r="F11" s="16">
        <v>180</v>
      </c>
      <c r="G11" s="125">
        <f t="shared" si="0"/>
        <v>44.444444444444443</v>
      </c>
      <c r="H11" s="16">
        <f t="shared" si="1"/>
        <v>3000</v>
      </c>
      <c r="I11" s="16">
        <f t="shared" si="2"/>
        <v>5400</v>
      </c>
      <c r="J11" s="16">
        <v>594</v>
      </c>
    </row>
    <row r="12" spans="1:10">
      <c r="A12" s="28" t="s">
        <v>120</v>
      </c>
      <c r="B12" s="40" t="s">
        <v>127</v>
      </c>
      <c r="C12" s="7">
        <v>4</v>
      </c>
      <c r="D12" s="7">
        <v>0</v>
      </c>
      <c r="E12" s="7">
        <v>60</v>
      </c>
      <c r="F12" s="7">
        <v>90</v>
      </c>
      <c r="G12" s="50">
        <f t="shared" si="0"/>
        <v>33.333333333333343</v>
      </c>
      <c r="H12" s="7">
        <f t="shared" si="1"/>
        <v>240</v>
      </c>
      <c r="I12" s="7">
        <f t="shared" si="2"/>
        <v>360</v>
      </c>
      <c r="J12" s="16">
        <v>594</v>
      </c>
    </row>
    <row r="13" spans="1:10" s="100" customFormat="1">
      <c r="A13" s="42" t="s">
        <v>120</v>
      </c>
      <c r="B13" s="126" t="s">
        <v>128</v>
      </c>
      <c r="C13" s="16">
        <v>2</v>
      </c>
      <c r="D13" s="16">
        <v>0</v>
      </c>
      <c r="E13" s="16">
        <v>90</v>
      </c>
      <c r="F13" s="16">
        <v>110</v>
      </c>
      <c r="G13" s="125">
        <f t="shared" si="0"/>
        <v>18.181818181818173</v>
      </c>
      <c r="H13" s="16">
        <f t="shared" si="1"/>
        <v>180</v>
      </c>
      <c r="I13" s="16">
        <f t="shared" si="2"/>
        <v>220</v>
      </c>
      <c r="J13" s="16">
        <v>594</v>
      </c>
    </row>
    <row r="14" spans="1:10">
      <c r="A14" s="28" t="s">
        <v>120</v>
      </c>
      <c r="B14" s="40" t="s">
        <v>129</v>
      </c>
      <c r="C14" s="7">
        <v>4</v>
      </c>
      <c r="D14" s="7">
        <v>0</v>
      </c>
      <c r="E14" s="7">
        <v>160</v>
      </c>
      <c r="F14" s="7">
        <v>230</v>
      </c>
      <c r="G14" s="50">
        <f t="shared" si="0"/>
        <v>30.434782608695656</v>
      </c>
      <c r="H14" s="7">
        <f t="shared" si="1"/>
        <v>640</v>
      </c>
      <c r="I14" s="7">
        <f t="shared" si="2"/>
        <v>920</v>
      </c>
      <c r="J14" s="16">
        <v>594</v>
      </c>
    </row>
    <row r="15" spans="1:10">
      <c r="A15" s="28" t="s">
        <v>120</v>
      </c>
      <c r="B15" s="40" t="s">
        <v>130</v>
      </c>
      <c r="C15" s="7">
        <v>4</v>
      </c>
      <c r="D15" s="7">
        <v>0</v>
      </c>
      <c r="E15" s="7">
        <v>60</v>
      </c>
      <c r="F15" s="7">
        <v>100</v>
      </c>
      <c r="G15" s="50">
        <f t="shared" si="0"/>
        <v>40</v>
      </c>
      <c r="H15" s="7">
        <f t="shared" si="1"/>
        <v>240</v>
      </c>
      <c r="I15" s="7">
        <f t="shared" si="2"/>
        <v>400</v>
      </c>
      <c r="J15" s="16">
        <v>594</v>
      </c>
    </row>
    <row r="16" spans="1:10" s="78" customFormat="1">
      <c r="A16" s="75" t="s">
        <v>120</v>
      </c>
      <c r="B16" s="76" t="s">
        <v>131</v>
      </c>
      <c r="C16" s="29">
        <v>15</v>
      </c>
      <c r="D16" s="29">
        <v>0</v>
      </c>
      <c r="E16" s="29">
        <v>110</v>
      </c>
      <c r="F16" s="29">
        <v>160</v>
      </c>
      <c r="G16" s="77">
        <f t="shared" si="0"/>
        <v>31.25</v>
      </c>
      <c r="H16" s="29">
        <f t="shared" si="1"/>
        <v>1650</v>
      </c>
      <c r="I16" s="29">
        <f t="shared" si="2"/>
        <v>2400</v>
      </c>
      <c r="J16" s="29">
        <v>594</v>
      </c>
    </row>
    <row r="17" spans="1:10">
      <c r="A17" s="42" t="s">
        <v>121</v>
      </c>
      <c r="B17" s="39" t="s">
        <v>138</v>
      </c>
      <c r="C17" s="7">
        <v>2</v>
      </c>
      <c r="D17" s="7">
        <v>10</v>
      </c>
      <c r="E17" s="7">
        <v>6</v>
      </c>
      <c r="F17" s="7">
        <v>10</v>
      </c>
      <c r="G17" s="50">
        <f t="shared" si="0"/>
        <v>40</v>
      </c>
      <c r="H17" s="7">
        <f t="shared" si="1"/>
        <v>12</v>
      </c>
      <c r="I17" s="7">
        <f t="shared" si="2"/>
        <v>20</v>
      </c>
      <c r="J17" s="16">
        <v>594</v>
      </c>
    </row>
    <row r="18" spans="1:10">
      <c r="A18" s="42" t="s">
        <v>121</v>
      </c>
      <c r="B18" s="40" t="s">
        <v>139</v>
      </c>
      <c r="C18" s="7">
        <v>50</v>
      </c>
      <c r="D18" s="7">
        <v>50</v>
      </c>
      <c r="E18" s="7">
        <v>6</v>
      </c>
      <c r="F18" s="7">
        <v>15</v>
      </c>
      <c r="G18" s="50">
        <f t="shared" si="0"/>
        <v>60</v>
      </c>
      <c r="H18" s="7">
        <f t="shared" si="1"/>
        <v>300</v>
      </c>
      <c r="I18" s="7">
        <f t="shared" si="2"/>
        <v>750</v>
      </c>
      <c r="J18" s="16">
        <v>594</v>
      </c>
    </row>
    <row r="19" spans="1:10">
      <c r="A19" s="42" t="s">
        <v>121</v>
      </c>
      <c r="B19" s="40" t="s">
        <v>140</v>
      </c>
      <c r="C19" s="7">
        <v>9</v>
      </c>
      <c r="D19" s="7">
        <v>5</v>
      </c>
      <c r="E19" s="7">
        <v>15</v>
      </c>
      <c r="F19" s="7">
        <v>30</v>
      </c>
      <c r="G19" s="50">
        <f t="shared" si="0"/>
        <v>50</v>
      </c>
      <c r="H19" s="7">
        <f t="shared" si="1"/>
        <v>135</v>
      </c>
      <c r="I19" s="7">
        <f t="shared" si="2"/>
        <v>270</v>
      </c>
      <c r="J19" s="16">
        <v>594</v>
      </c>
    </row>
    <row r="20" spans="1:10">
      <c r="A20" s="42" t="s">
        <v>121</v>
      </c>
      <c r="B20" s="40" t="s">
        <v>141</v>
      </c>
      <c r="C20" s="7">
        <v>30</v>
      </c>
      <c r="D20" s="7">
        <v>10</v>
      </c>
      <c r="E20" s="7">
        <v>20</v>
      </c>
      <c r="F20" s="7">
        <v>40</v>
      </c>
      <c r="G20" s="50">
        <f t="shared" si="0"/>
        <v>50</v>
      </c>
      <c r="H20" s="7">
        <f t="shared" si="1"/>
        <v>600</v>
      </c>
      <c r="I20" s="7">
        <f t="shared" si="2"/>
        <v>1200</v>
      </c>
      <c r="J20" s="16">
        <v>594</v>
      </c>
    </row>
    <row r="21" spans="1:10">
      <c r="A21" s="42" t="s">
        <v>121</v>
      </c>
      <c r="B21" s="40" t="s">
        <v>142</v>
      </c>
      <c r="C21" s="7">
        <v>50</v>
      </c>
      <c r="D21" s="7">
        <v>50</v>
      </c>
      <c r="E21" s="7">
        <v>6</v>
      </c>
      <c r="F21" s="7">
        <v>10</v>
      </c>
      <c r="G21" s="50">
        <f t="shared" si="0"/>
        <v>40</v>
      </c>
      <c r="H21" s="7">
        <f t="shared" si="1"/>
        <v>300</v>
      </c>
      <c r="I21" s="7">
        <f t="shared" si="2"/>
        <v>500</v>
      </c>
      <c r="J21" s="16">
        <v>594</v>
      </c>
    </row>
    <row r="22" spans="1:10">
      <c r="A22" s="42" t="s">
        <v>121</v>
      </c>
      <c r="B22" s="40" t="s">
        <v>143</v>
      </c>
      <c r="C22" s="7">
        <v>20</v>
      </c>
      <c r="D22" s="7">
        <v>10</v>
      </c>
      <c r="E22" s="7">
        <v>15</v>
      </c>
      <c r="F22" s="7">
        <v>30</v>
      </c>
      <c r="G22" s="50">
        <f t="shared" si="0"/>
        <v>50</v>
      </c>
      <c r="H22" s="7">
        <f t="shared" si="1"/>
        <v>300</v>
      </c>
      <c r="I22" s="7">
        <f t="shared" si="2"/>
        <v>600</v>
      </c>
      <c r="J22" s="16">
        <v>594</v>
      </c>
    </row>
    <row r="23" spans="1:10">
      <c r="A23" s="42" t="s">
        <v>121</v>
      </c>
      <c r="B23" s="40" t="s">
        <v>144</v>
      </c>
      <c r="C23" s="7">
        <v>6</v>
      </c>
      <c r="D23" s="7">
        <v>0</v>
      </c>
      <c r="E23" s="7">
        <v>20</v>
      </c>
      <c r="F23" s="7">
        <v>40</v>
      </c>
      <c r="G23" s="50">
        <f t="shared" si="0"/>
        <v>50</v>
      </c>
      <c r="H23" s="7">
        <f t="shared" si="1"/>
        <v>120</v>
      </c>
      <c r="I23" s="7">
        <f t="shared" si="2"/>
        <v>240</v>
      </c>
      <c r="J23" s="16">
        <v>594</v>
      </c>
    </row>
    <row r="24" spans="1:10">
      <c r="A24" s="28" t="s">
        <v>145</v>
      </c>
      <c r="B24" s="39" t="s">
        <v>146</v>
      </c>
      <c r="C24" s="7">
        <v>20</v>
      </c>
      <c r="D24" s="7">
        <v>10</v>
      </c>
      <c r="E24" s="7">
        <v>10</v>
      </c>
      <c r="F24" s="7">
        <v>20</v>
      </c>
      <c r="G24" s="50">
        <f t="shared" si="0"/>
        <v>50</v>
      </c>
      <c r="H24" s="7">
        <f t="shared" si="1"/>
        <v>200</v>
      </c>
      <c r="I24" s="7">
        <f t="shared" si="2"/>
        <v>400</v>
      </c>
      <c r="J24" s="16">
        <v>594</v>
      </c>
    </row>
    <row r="25" spans="1:10">
      <c r="A25" s="28" t="s">
        <v>145</v>
      </c>
      <c r="B25" s="32" t="s">
        <v>147</v>
      </c>
      <c r="C25" s="7">
        <v>20</v>
      </c>
      <c r="D25" s="7">
        <v>10</v>
      </c>
      <c r="E25" s="7">
        <v>15</v>
      </c>
      <c r="F25" s="7">
        <v>30</v>
      </c>
      <c r="G25" s="50">
        <f t="shared" si="0"/>
        <v>50</v>
      </c>
      <c r="H25" s="7">
        <f t="shared" si="1"/>
        <v>300</v>
      </c>
      <c r="I25" s="7">
        <f t="shared" si="2"/>
        <v>600</v>
      </c>
      <c r="J25" s="16">
        <v>594</v>
      </c>
    </row>
    <row r="26" spans="1:10">
      <c r="A26" s="28" t="s">
        <v>118</v>
      </c>
      <c r="B26" s="39" t="s">
        <v>149</v>
      </c>
      <c r="C26" s="7">
        <v>15</v>
      </c>
      <c r="D26" s="7">
        <v>10</v>
      </c>
      <c r="E26" s="7">
        <v>40</v>
      </c>
      <c r="F26" s="7">
        <v>60</v>
      </c>
      <c r="G26" s="50">
        <f t="shared" si="0"/>
        <v>33.333333333333343</v>
      </c>
      <c r="H26" s="7">
        <f t="shared" si="1"/>
        <v>600</v>
      </c>
      <c r="I26" s="7">
        <f t="shared" si="2"/>
        <v>900</v>
      </c>
      <c r="J26" s="16">
        <v>594</v>
      </c>
    </row>
    <row r="27" spans="1:10">
      <c r="A27" s="28" t="s">
        <v>118</v>
      </c>
      <c r="B27" s="40" t="s">
        <v>150</v>
      </c>
      <c r="C27" s="7">
        <v>40</v>
      </c>
      <c r="D27" s="7">
        <v>10</v>
      </c>
      <c r="E27" s="7">
        <v>40</v>
      </c>
      <c r="F27" s="7">
        <v>60</v>
      </c>
      <c r="G27" s="50">
        <f t="shared" si="0"/>
        <v>33.333333333333343</v>
      </c>
      <c r="H27" s="7">
        <f t="shared" si="1"/>
        <v>1600</v>
      </c>
      <c r="I27" s="7">
        <f t="shared" si="2"/>
        <v>2400</v>
      </c>
      <c r="J27" s="16">
        <v>594</v>
      </c>
    </row>
    <row r="28" spans="1:10">
      <c r="A28" s="28" t="s">
        <v>118</v>
      </c>
      <c r="B28" s="40" t="s">
        <v>151</v>
      </c>
      <c r="C28" s="7">
        <v>5</v>
      </c>
      <c r="D28" s="7">
        <v>0</v>
      </c>
      <c r="E28" s="7">
        <v>90</v>
      </c>
      <c r="F28" s="7">
        <v>130</v>
      </c>
      <c r="G28" s="50">
        <f t="shared" si="0"/>
        <v>30.769230769230774</v>
      </c>
      <c r="H28" s="7">
        <f t="shared" si="1"/>
        <v>450</v>
      </c>
      <c r="I28" s="7">
        <f t="shared" si="2"/>
        <v>650</v>
      </c>
      <c r="J28" s="16">
        <v>594</v>
      </c>
    </row>
    <row r="29" spans="1:10">
      <c r="A29" s="28" t="s">
        <v>118</v>
      </c>
      <c r="B29" s="40">
        <v>555</v>
      </c>
      <c r="C29" s="7">
        <v>80</v>
      </c>
      <c r="D29" s="7">
        <v>50</v>
      </c>
      <c r="E29" s="7">
        <v>6</v>
      </c>
      <c r="F29" s="7">
        <v>10</v>
      </c>
      <c r="G29" s="50">
        <f t="shared" si="0"/>
        <v>40</v>
      </c>
      <c r="H29" s="7">
        <f t="shared" si="1"/>
        <v>480</v>
      </c>
      <c r="I29" s="7">
        <f t="shared" si="2"/>
        <v>800</v>
      </c>
      <c r="J29" s="16">
        <v>594</v>
      </c>
    </row>
    <row r="30" spans="1:10">
      <c r="A30" s="28" t="s">
        <v>118</v>
      </c>
      <c r="B30" s="40">
        <v>556</v>
      </c>
      <c r="C30" s="7">
        <v>6</v>
      </c>
      <c r="D30" s="7">
        <v>0</v>
      </c>
      <c r="E30" s="7">
        <v>15</v>
      </c>
      <c r="F30" s="7">
        <v>30</v>
      </c>
      <c r="G30" s="50">
        <f t="shared" si="0"/>
        <v>50</v>
      </c>
      <c r="H30" s="7">
        <f t="shared" si="1"/>
        <v>90</v>
      </c>
      <c r="I30" s="7">
        <f t="shared" si="2"/>
        <v>180</v>
      </c>
      <c r="J30" s="16">
        <v>594</v>
      </c>
    </row>
    <row r="31" spans="1:10">
      <c r="A31" s="28" t="s">
        <v>118</v>
      </c>
      <c r="B31" s="40" t="s">
        <v>152</v>
      </c>
      <c r="C31" s="7">
        <v>10</v>
      </c>
      <c r="D31" s="7">
        <v>0</v>
      </c>
      <c r="E31" s="7">
        <v>10</v>
      </c>
      <c r="F31" s="7">
        <v>20</v>
      </c>
      <c r="G31" s="50">
        <f t="shared" si="0"/>
        <v>50</v>
      </c>
      <c r="H31" s="7">
        <f t="shared" si="1"/>
        <v>100</v>
      </c>
      <c r="I31" s="7">
        <f t="shared" si="2"/>
        <v>200</v>
      </c>
      <c r="J31" s="16">
        <v>594</v>
      </c>
    </row>
    <row r="32" spans="1:10">
      <c r="A32" s="28" t="s">
        <v>118</v>
      </c>
      <c r="B32" s="40" t="s">
        <v>153</v>
      </c>
      <c r="C32" s="7">
        <v>12</v>
      </c>
      <c r="D32" s="7">
        <v>5</v>
      </c>
      <c r="E32" s="7">
        <v>30</v>
      </c>
      <c r="F32" s="7">
        <v>45</v>
      </c>
      <c r="G32" s="50">
        <f t="shared" si="0"/>
        <v>33.333333333333343</v>
      </c>
      <c r="H32" s="7">
        <f t="shared" si="1"/>
        <v>360</v>
      </c>
      <c r="I32" s="7">
        <f t="shared" si="2"/>
        <v>540</v>
      </c>
      <c r="J32" s="16">
        <v>594</v>
      </c>
    </row>
    <row r="33" spans="1:10">
      <c r="A33" s="28" t="s">
        <v>118</v>
      </c>
      <c r="B33" s="40" t="s">
        <v>154</v>
      </c>
      <c r="C33" s="7">
        <v>15</v>
      </c>
      <c r="D33" s="7">
        <v>5</v>
      </c>
      <c r="E33" s="7">
        <v>40</v>
      </c>
      <c r="F33" s="7">
        <v>60</v>
      </c>
      <c r="G33" s="50">
        <f t="shared" si="0"/>
        <v>33.333333333333343</v>
      </c>
      <c r="H33" s="7">
        <f t="shared" si="1"/>
        <v>600</v>
      </c>
      <c r="I33" s="7">
        <f t="shared" si="2"/>
        <v>900</v>
      </c>
      <c r="J33" s="16">
        <v>594</v>
      </c>
    </row>
    <row r="34" spans="1:10">
      <c r="A34" s="28" t="s">
        <v>118</v>
      </c>
      <c r="B34" s="40" t="s">
        <v>155</v>
      </c>
      <c r="C34" s="7">
        <v>0</v>
      </c>
      <c r="D34" s="7">
        <v>10</v>
      </c>
      <c r="E34" s="7">
        <v>45</v>
      </c>
      <c r="F34" s="7">
        <v>65</v>
      </c>
      <c r="G34" s="50">
        <f t="shared" si="0"/>
        <v>30.769230769230774</v>
      </c>
      <c r="H34" s="7">
        <f t="shared" si="1"/>
        <v>0</v>
      </c>
      <c r="I34" s="7">
        <f t="shared" si="2"/>
        <v>0</v>
      </c>
      <c r="J34" s="16">
        <v>594</v>
      </c>
    </row>
    <row r="35" spans="1:10">
      <c r="A35" s="28" t="s">
        <v>118</v>
      </c>
      <c r="B35" s="40" t="s">
        <v>156</v>
      </c>
      <c r="C35" s="7">
        <v>20</v>
      </c>
      <c r="D35" s="7">
        <v>10</v>
      </c>
      <c r="E35" s="7">
        <v>15</v>
      </c>
      <c r="F35" s="7">
        <v>25</v>
      </c>
      <c r="G35" s="50">
        <f t="shared" si="0"/>
        <v>40</v>
      </c>
      <c r="H35" s="7">
        <f t="shared" si="1"/>
        <v>300</v>
      </c>
      <c r="I35" s="7">
        <f t="shared" si="2"/>
        <v>500</v>
      </c>
      <c r="J35" s="16">
        <v>594</v>
      </c>
    </row>
    <row r="36" spans="1:10">
      <c r="A36" s="28" t="s">
        <v>118</v>
      </c>
      <c r="B36" s="40" t="s">
        <v>719</v>
      </c>
      <c r="C36" s="7">
        <v>10</v>
      </c>
      <c r="D36" s="7">
        <v>10</v>
      </c>
      <c r="E36" s="7">
        <v>10</v>
      </c>
      <c r="F36" s="7">
        <v>20</v>
      </c>
      <c r="G36" s="50">
        <f t="shared" si="0"/>
        <v>50</v>
      </c>
      <c r="H36" s="7">
        <f t="shared" si="1"/>
        <v>100</v>
      </c>
      <c r="I36" s="7">
        <f t="shared" si="2"/>
        <v>200</v>
      </c>
      <c r="J36" s="16">
        <v>644</v>
      </c>
    </row>
    <row r="37" spans="1:10">
      <c r="A37" s="28" t="s">
        <v>118</v>
      </c>
      <c r="B37" s="40" t="s">
        <v>157</v>
      </c>
      <c r="C37" s="7">
        <v>505</v>
      </c>
      <c r="D37" s="7">
        <v>100</v>
      </c>
      <c r="E37" s="7">
        <v>15</v>
      </c>
      <c r="F37" s="7">
        <v>40</v>
      </c>
      <c r="G37" s="50">
        <f t="shared" si="0"/>
        <v>62.5</v>
      </c>
      <c r="H37" s="7">
        <f t="shared" si="1"/>
        <v>7575</v>
      </c>
      <c r="I37" s="7">
        <f t="shared" si="2"/>
        <v>20200</v>
      </c>
      <c r="J37" s="16" t="s">
        <v>629</v>
      </c>
    </row>
    <row r="38" spans="1:10">
      <c r="A38" s="28" t="s">
        <v>118</v>
      </c>
      <c r="B38" s="40" t="s">
        <v>158</v>
      </c>
      <c r="C38" s="7">
        <v>25</v>
      </c>
      <c r="D38" s="7">
        <v>50</v>
      </c>
      <c r="E38" s="7">
        <v>20</v>
      </c>
      <c r="F38" s="7">
        <v>30</v>
      </c>
      <c r="G38" s="50">
        <f t="shared" si="0"/>
        <v>33.333333333333343</v>
      </c>
      <c r="H38" s="7">
        <f t="shared" si="1"/>
        <v>500</v>
      </c>
      <c r="I38" s="7">
        <f t="shared" si="2"/>
        <v>750</v>
      </c>
      <c r="J38" s="16">
        <v>594</v>
      </c>
    </row>
    <row r="39" spans="1:10">
      <c r="A39" s="28" t="s">
        <v>118</v>
      </c>
      <c r="B39" s="40" t="s">
        <v>159</v>
      </c>
      <c r="C39" s="7">
        <v>25</v>
      </c>
      <c r="D39" s="7">
        <v>50</v>
      </c>
      <c r="E39" s="7">
        <v>20</v>
      </c>
      <c r="F39" s="7">
        <v>30</v>
      </c>
      <c r="G39" s="50">
        <f t="shared" si="0"/>
        <v>33.333333333333343</v>
      </c>
      <c r="H39" s="7">
        <f t="shared" si="1"/>
        <v>500</v>
      </c>
      <c r="I39" s="7">
        <f t="shared" si="2"/>
        <v>750</v>
      </c>
      <c r="J39" s="16">
        <v>594</v>
      </c>
    </row>
    <row r="40" spans="1:10">
      <c r="A40" s="28" t="s">
        <v>118</v>
      </c>
      <c r="B40" s="40" t="s">
        <v>160</v>
      </c>
      <c r="C40" s="7">
        <v>50</v>
      </c>
      <c r="D40" s="7">
        <v>10</v>
      </c>
      <c r="E40" s="7">
        <v>15</v>
      </c>
      <c r="F40" s="7">
        <v>30</v>
      </c>
      <c r="G40" s="50">
        <f t="shared" si="0"/>
        <v>50</v>
      </c>
      <c r="H40" s="7">
        <f t="shared" si="1"/>
        <v>750</v>
      </c>
      <c r="I40" s="7">
        <f t="shared" si="2"/>
        <v>1500</v>
      </c>
      <c r="J40" s="16">
        <v>594</v>
      </c>
    </row>
    <row r="41" spans="1:10">
      <c r="A41" s="28" t="s">
        <v>118</v>
      </c>
      <c r="B41" s="40">
        <v>8870</v>
      </c>
      <c r="C41" s="7">
        <v>10</v>
      </c>
      <c r="D41" s="7">
        <v>10</v>
      </c>
      <c r="E41" s="7">
        <v>25</v>
      </c>
      <c r="F41" s="7">
        <v>40</v>
      </c>
      <c r="G41" s="50">
        <f t="shared" si="0"/>
        <v>37.5</v>
      </c>
      <c r="H41" s="7">
        <f t="shared" si="1"/>
        <v>250</v>
      </c>
      <c r="I41" s="7">
        <f t="shared" si="2"/>
        <v>400</v>
      </c>
      <c r="J41" s="16">
        <v>594</v>
      </c>
    </row>
    <row r="42" spans="1:10">
      <c r="A42" s="28" t="s">
        <v>118</v>
      </c>
      <c r="B42" s="40" t="s">
        <v>161</v>
      </c>
      <c r="C42" s="7">
        <v>50</v>
      </c>
      <c r="D42" s="7">
        <v>10</v>
      </c>
      <c r="E42" s="7">
        <v>10</v>
      </c>
      <c r="F42" s="7">
        <v>20</v>
      </c>
      <c r="G42" s="50">
        <f t="shared" si="0"/>
        <v>50</v>
      </c>
      <c r="H42" s="7">
        <f t="shared" si="1"/>
        <v>500</v>
      </c>
      <c r="I42" s="7">
        <f t="shared" si="2"/>
        <v>1000</v>
      </c>
      <c r="J42" s="16">
        <v>594</v>
      </c>
    </row>
    <row r="43" spans="1:10">
      <c r="A43" s="28" t="s">
        <v>118</v>
      </c>
      <c r="B43" s="40" t="s">
        <v>162</v>
      </c>
      <c r="C43" s="7">
        <v>25</v>
      </c>
      <c r="D43" s="7">
        <v>0</v>
      </c>
      <c r="E43" s="7">
        <v>15</v>
      </c>
      <c r="F43" s="7">
        <v>30</v>
      </c>
      <c r="G43" s="50">
        <f t="shared" si="0"/>
        <v>50</v>
      </c>
      <c r="H43" s="7">
        <f t="shared" si="1"/>
        <v>375</v>
      </c>
      <c r="I43" s="7">
        <f t="shared" si="2"/>
        <v>750</v>
      </c>
      <c r="J43" s="16">
        <v>594</v>
      </c>
    </row>
    <row r="44" spans="1:10">
      <c r="A44" s="28" t="s">
        <v>118</v>
      </c>
      <c r="B44" s="40" t="s">
        <v>163</v>
      </c>
      <c r="C44" s="7">
        <v>4</v>
      </c>
      <c r="D44" s="7">
        <v>0</v>
      </c>
      <c r="E44" s="7">
        <v>10</v>
      </c>
      <c r="F44" s="7">
        <v>20</v>
      </c>
      <c r="G44" s="50">
        <f t="shared" si="0"/>
        <v>50</v>
      </c>
      <c r="H44" s="7">
        <f t="shared" si="1"/>
        <v>40</v>
      </c>
      <c r="I44" s="7">
        <f t="shared" si="2"/>
        <v>80</v>
      </c>
      <c r="J44" s="16">
        <v>594</v>
      </c>
    </row>
    <row r="45" spans="1:10">
      <c r="A45" s="28" t="s">
        <v>118</v>
      </c>
      <c r="B45" s="40" t="s">
        <v>164</v>
      </c>
      <c r="C45" s="7">
        <v>1</v>
      </c>
      <c r="D45" s="7">
        <v>0</v>
      </c>
      <c r="E45" s="7">
        <v>300</v>
      </c>
      <c r="F45" s="7">
        <v>450</v>
      </c>
      <c r="G45" s="50">
        <f t="shared" si="0"/>
        <v>33.333333333333343</v>
      </c>
      <c r="H45" s="7">
        <f t="shared" si="1"/>
        <v>300</v>
      </c>
      <c r="I45" s="7">
        <f t="shared" si="2"/>
        <v>450</v>
      </c>
      <c r="J45" s="16">
        <v>594</v>
      </c>
    </row>
    <row r="46" spans="1:10">
      <c r="A46" s="28" t="s">
        <v>118</v>
      </c>
      <c r="B46" s="40" t="s">
        <v>165</v>
      </c>
      <c r="C46" s="7">
        <v>7</v>
      </c>
      <c r="D46" s="7">
        <v>0</v>
      </c>
      <c r="E46" s="7">
        <v>30</v>
      </c>
      <c r="F46" s="7">
        <v>45</v>
      </c>
      <c r="G46" s="50">
        <f t="shared" si="0"/>
        <v>33.333333333333343</v>
      </c>
      <c r="H46" s="7">
        <f t="shared" si="1"/>
        <v>210</v>
      </c>
      <c r="I46" s="7">
        <f t="shared" si="2"/>
        <v>315</v>
      </c>
      <c r="J46" s="16">
        <v>594</v>
      </c>
    </row>
    <row r="47" spans="1:10">
      <c r="A47" s="28" t="s">
        <v>118</v>
      </c>
      <c r="B47" s="40" t="s">
        <v>166</v>
      </c>
      <c r="C47" s="7">
        <v>2</v>
      </c>
      <c r="D47" s="7">
        <v>0</v>
      </c>
      <c r="E47" s="7">
        <v>180</v>
      </c>
      <c r="F47" s="7">
        <v>320</v>
      </c>
      <c r="G47" s="50">
        <f t="shared" si="0"/>
        <v>43.75</v>
      </c>
      <c r="H47" s="7">
        <f t="shared" si="1"/>
        <v>360</v>
      </c>
      <c r="I47" s="7">
        <f t="shared" si="2"/>
        <v>640</v>
      </c>
      <c r="J47" s="16">
        <v>594</v>
      </c>
    </row>
    <row r="48" spans="1:10">
      <c r="A48" s="28" t="s">
        <v>118</v>
      </c>
      <c r="B48" s="40" t="s">
        <v>167</v>
      </c>
      <c r="C48" s="7">
        <v>8</v>
      </c>
      <c r="D48" s="7">
        <v>0</v>
      </c>
      <c r="E48" s="7">
        <v>30</v>
      </c>
      <c r="F48" s="7">
        <v>45</v>
      </c>
      <c r="G48" s="50">
        <f t="shared" si="0"/>
        <v>33.333333333333343</v>
      </c>
      <c r="H48" s="7">
        <f t="shared" si="1"/>
        <v>240</v>
      </c>
      <c r="I48" s="7">
        <f t="shared" si="2"/>
        <v>360</v>
      </c>
      <c r="J48" s="16">
        <v>594</v>
      </c>
    </row>
    <row r="49" spans="1:12">
      <c r="A49" s="28" t="s">
        <v>118</v>
      </c>
      <c r="B49" s="40" t="s">
        <v>168</v>
      </c>
      <c r="C49" s="7">
        <v>5</v>
      </c>
      <c r="D49" s="7">
        <v>0</v>
      </c>
      <c r="E49" s="7">
        <v>120</v>
      </c>
      <c r="F49" s="7">
        <v>175</v>
      </c>
      <c r="G49" s="50">
        <f t="shared" si="0"/>
        <v>31.428571428571431</v>
      </c>
      <c r="H49" s="7">
        <f t="shared" si="1"/>
        <v>600</v>
      </c>
      <c r="I49" s="7">
        <f t="shared" si="2"/>
        <v>875</v>
      </c>
      <c r="J49" s="16">
        <v>594</v>
      </c>
    </row>
    <row r="50" spans="1:12">
      <c r="A50" s="28" t="s">
        <v>118</v>
      </c>
      <c r="B50" s="40" t="s">
        <v>169</v>
      </c>
      <c r="C50" s="7">
        <v>6</v>
      </c>
      <c r="D50" s="7">
        <v>0</v>
      </c>
      <c r="E50" s="7">
        <v>15</v>
      </c>
      <c r="F50" s="7">
        <v>30</v>
      </c>
      <c r="G50" s="50">
        <f t="shared" si="0"/>
        <v>50</v>
      </c>
      <c r="H50" s="7">
        <f t="shared" si="1"/>
        <v>90</v>
      </c>
      <c r="I50" s="7">
        <f t="shared" si="2"/>
        <v>180</v>
      </c>
      <c r="J50" s="16">
        <v>594</v>
      </c>
    </row>
    <row r="51" spans="1:12">
      <c r="A51" s="28" t="s">
        <v>118</v>
      </c>
      <c r="B51" s="41" t="s">
        <v>170</v>
      </c>
      <c r="C51" s="30">
        <v>40</v>
      </c>
      <c r="D51" s="30">
        <v>10</v>
      </c>
      <c r="E51" s="7">
        <v>10</v>
      </c>
      <c r="F51" s="7">
        <v>20</v>
      </c>
      <c r="G51" s="50">
        <f t="shared" si="0"/>
        <v>50</v>
      </c>
      <c r="H51" s="7">
        <f t="shared" si="1"/>
        <v>400</v>
      </c>
      <c r="I51" s="7">
        <f t="shared" si="2"/>
        <v>800</v>
      </c>
      <c r="J51" s="16">
        <v>594</v>
      </c>
    </row>
    <row r="52" spans="1:12">
      <c r="A52" s="43"/>
      <c r="B52" s="41"/>
      <c r="C52" s="30"/>
      <c r="D52" s="30"/>
      <c r="E52" s="7"/>
      <c r="F52" s="7"/>
      <c r="G52" s="50"/>
      <c r="H52" s="7"/>
      <c r="I52" s="7"/>
      <c r="J52" s="16">
        <v>594</v>
      </c>
    </row>
    <row r="53" spans="1:12">
      <c r="A53" s="43" t="s">
        <v>118</v>
      </c>
      <c r="B53" s="32">
        <v>7408</v>
      </c>
      <c r="C53" s="7">
        <v>21</v>
      </c>
      <c r="D53" s="7">
        <v>10</v>
      </c>
      <c r="E53" s="7">
        <v>10</v>
      </c>
      <c r="F53" s="7">
        <v>20</v>
      </c>
      <c r="G53" s="50">
        <f t="shared" si="0"/>
        <v>50</v>
      </c>
      <c r="H53" s="7">
        <f t="shared" si="1"/>
        <v>210</v>
      </c>
      <c r="I53" s="7">
        <f t="shared" si="2"/>
        <v>420</v>
      </c>
      <c r="J53" s="16">
        <v>594</v>
      </c>
      <c r="L53" s="54" t="s">
        <v>185</v>
      </c>
    </row>
    <row r="54" spans="1:12">
      <c r="A54" s="43" t="s">
        <v>118</v>
      </c>
      <c r="B54" s="32">
        <v>74124</v>
      </c>
      <c r="C54" s="7">
        <v>20</v>
      </c>
      <c r="D54" s="7">
        <v>0</v>
      </c>
      <c r="E54" s="7">
        <v>10</v>
      </c>
      <c r="F54" s="7">
        <v>25</v>
      </c>
      <c r="G54" s="50">
        <f t="shared" si="0"/>
        <v>60</v>
      </c>
      <c r="H54" s="7">
        <f t="shared" si="1"/>
        <v>200</v>
      </c>
      <c r="I54" s="7">
        <f t="shared" si="2"/>
        <v>500</v>
      </c>
      <c r="J54" s="16">
        <v>594</v>
      </c>
      <c r="L54" s="54" t="s">
        <v>171</v>
      </c>
    </row>
    <row r="55" spans="1:12">
      <c r="A55" s="43" t="s">
        <v>118</v>
      </c>
      <c r="B55" s="32">
        <v>74161</v>
      </c>
      <c r="C55" s="7">
        <v>5</v>
      </c>
      <c r="D55" s="7">
        <v>0</v>
      </c>
      <c r="E55" s="7">
        <v>20</v>
      </c>
      <c r="F55" s="7">
        <v>35</v>
      </c>
      <c r="G55" s="50">
        <f t="shared" si="0"/>
        <v>42.857142857142861</v>
      </c>
      <c r="H55" s="7">
        <f t="shared" si="1"/>
        <v>100</v>
      </c>
      <c r="I55" s="7">
        <f t="shared" si="2"/>
        <v>175</v>
      </c>
      <c r="J55" s="16">
        <v>594</v>
      </c>
      <c r="L55" s="54" t="s">
        <v>172</v>
      </c>
    </row>
    <row r="56" spans="1:12">
      <c r="A56" s="43" t="s">
        <v>118</v>
      </c>
      <c r="B56" s="32">
        <v>74247</v>
      </c>
      <c r="C56" s="7">
        <v>2</v>
      </c>
      <c r="D56" s="7">
        <v>0</v>
      </c>
      <c r="E56" s="7">
        <v>20</v>
      </c>
      <c r="F56" s="7">
        <v>45</v>
      </c>
      <c r="G56" s="50">
        <f t="shared" si="0"/>
        <v>55.555555555555557</v>
      </c>
      <c r="H56" s="7">
        <f t="shared" si="1"/>
        <v>40</v>
      </c>
      <c r="I56" s="7">
        <f t="shared" si="2"/>
        <v>90</v>
      </c>
      <c r="J56" s="16">
        <v>594</v>
      </c>
      <c r="L56" s="54" t="s">
        <v>173</v>
      </c>
    </row>
    <row r="57" spans="1:12">
      <c r="A57" s="43" t="s">
        <v>118</v>
      </c>
      <c r="B57" s="32">
        <v>74595</v>
      </c>
      <c r="C57" s="7">
        <v>12</v>
      </c>
      <c r="D57" s="7">
        <v>0</v>
      </c>
      <c r="E57" s="7">
        <v>15</v>
      </c>
      <c r="F57" s="7">
        <v>25</v>
      </c>
      <c r="G57" s="50">
        <f t="shared" si="0"/>
        <v>40</v>
      </c>
      <c r="H57" s="7">
        <f t="shared" si="1"/>
        <v>180</v>
      </c>
      <c r="I57" s="7">
        <f t="shared" si="2"/>
        <v>300</v>
      </c>
      <c r="J57" s="16">
        <v>594</v>
      </c>
      <c r="L57" s="54" t="s">
        <v>174</v>
      </c>
    </row>
    <row r="58" spans="1:12">
      <c r="A58" s="43" t="s">
        <v>118</v>
      </c>
      <c r="B58" s="32">
        <v>74573</v>
      </c>
      <c r="C58" s="7">
        <v>6</v>
      </c>
      <c r="D58" s="7">
        <v>0</v>
      </c>
      <c r="E58" s="7">
        <v>20</v>
      </c>
      <c r="F58" s="7">
        <v>40</v>
      </c>
      <c r="G58" s="50">
        <f t="shared" si="0"/>
        <v>50</v>
      </c>
      <c r="H58" s="7">
        <f t="shared" si="1"/>
        <v>120</v>
      </c>
      <c r="I58" s="7">
        <f t="shared" si="2"/>
        <v>240</v>
      </c>
      <c r="J58" s="16">
        <v>594</v>
      </c>
      <c r="L58" s="54" t="s">
        <v>175</v>
      </c>
    </row>
    <row r="59" spans="1:12">
      <c r="A59" s="43" t="s">
        <v>118</v>
      </c>
      <c r="B59" s="32">
        <v>74192</v>
      </c>
      <c r="C59" s="7">
        <v>2</v>
      </c>
      <c r="D59" s="7">
        <v>0</v>
      </c>
      <c r="E59" s="7">
        <v>20</v>
      </c>
      <c r="F59" s="7">
        <v>45</v>
      </c>
      <c r="G59" s="50">
        <f t="shared" si="0"/>
        <v>55.555555555555557</v>
      </c>
      <c r="H59" s="7">
        <f t="shared" si="1"/>
        <v>40</v>
      </c>
      <c r="I59" s="7">
        <f t="shared" si="2"/>
        <v>90</v>
      </c>
      <c r="J59" s="16">
        <v>594</v>
      </c>
      <c r="L59" s="54" t="s">
        <v>176</v>
      </c>
    </row>
    <row r="60" spans="1:12">
      <c r="A60" s="43" t="s">
        <v>118</v>
      </c>
      <c r="B60" s="32">
        <v>74245</v>
      </c>
      <c r="C60" s="7">
        <v>7</v>
      </c>
      <c r="D60" s="7">
        <v>0</v>
      </c>
      <c r="E60" s="7">
        <v>20</v>
      </c>
      <c r="F60" s="7">
        <v>40</v>
      </c>
      <c r="G60" s="50">
        <f t="shared" si="0"/>
        <v>50</v>
      </c>
      <c r="H60" s="7">
        <f t="shared" si="1"/>
        <v>140</v>
      </c>
      <c r="I60" s="7">
        <f t="shared" si="2"/>
        <v>280</v>
      </c>
      <c r="J60" s="16">
        <v>594</v>
      </c>
      <c r="L60" s="54" t="s">
        <v>177</v>
      </c>
    </row>
    <row r="61" spans="1:12">
      <c r="A61" s="43" t="s">
        <v>118</v>
      </c>
      <c r="B61" s="32">
        <v>74147</v>
      </c>
      <c r="C61" s="7">
        <v>20</v>
      </c>
      <c r="D61" s="7">
        <v>0</v>
      </c>
      <c r="E61" s="7">
        <v>30</v>
      </c>
      <c r="F61" s="7">
        <v>50</v>
      </c>
      <c r="G61" s="50">
        <f t="shared" si="0"/>
        <v>40</v>
      </c>
      <c r="H61" s="7">
        <f t="shared" si="1"/>
        <v>600</v>
      </c>
      <c r="I61" s="7">
        <f t="shared" si="2"/>
        <v>1000</v>
      </c>
      <c r="J61" s="16">
        <v>594</v>
      </c>
      <c r="L61" s="54" t="s">
        <v>178</v>
      </c>
    </row>
    <row r="62" spans="1:12">
      <c r="A62" s="43" t="s">
        <v>118</v>
      </c>
      <c r="B62" s="32">
        <v>74373</v>
      </c>
      <c r="C62" s="7">
        <v>20</v>
      </c>
      <c r="D62" s="7">
        <v>0</v>
      </c>
      <c r="E62" s="7">
        <v>10</v>
      </c>
      <c r="F62" s="7">
        <v>20</v>
      </c>
      <c r="G62" s="50">
        <f t="shared" si="0"/>
        <v>50</v>
      </c>
      <c r="H62" s="7">
        <f t="shared" si="1"/>
        <v>200</v>
      </c>
      <c r="I62" s="7">
        <f t="shared" si="2"/>
        <v>400</v>
      </c>
      <c r="J62" s="16">
        <v>594</v>
      </c>
      <c r="L62" s="54" t="s">
        <v>175</v>
      </c>
    </row>
    <row r="63" spans="1:12">
      <c r="A63" s="43" t="s">
        <v>118</v>
      </c>
      <c r="B63" s="32">
        <v>74374</v>
      </c>
      <c r="C63" s="7">
        <v>20</v>
      </c>
      <c r="D63" s="7">
        <v>0</v>
      </c>
      <c r="E63" s="7">
        <v>10</v>
      </c>
      <c r="F63" s="7">
        <v>20</v>
      </c>
      <c r="G63" s="50">
        <f t="shared" si="0"/>
        <v>50</v>
      </c>
      <c r="H63" s="7">
        <f t="shared" si="1"/>
        <v>200</v>
      </c>
      <c r="I63" s="7">
        <f t="shared" si="2"/>
        <v>400</v>
      </c>
      <c r="J63" s="16">
        <v>594</v>
      </c>
      <c r="L63" s="54" t="s">
        <v>179</v>
      </c>
    </row>
    <row r="64" spans="1:12">
      <c r="A64" s="43" t="s">
        <v>118</v>
      </c>
      <c r="B64" s="32">
        <v>74123</v>
      </c>
      <c r="C64" s="7">
        <v>20</v>
      </c>
      <c r="D64" s="7">
        <v>0</v>
      </c>
      <c r="E64" s="7">
        <v>10</v>
      </c>
      <c r="F64" s="7">
        <v>25</v>
      </c>
      <c r="G64" s="50">
        <f t="shared" si="0"/>
        <v>60</v>
      </c>
      <c r="H64" s="7">
        <f t="shared" si="1"/>
        <v>200</v>
      </c>
      <c r="I64" s="7">
        <f t="shared" si="2"/>
        <v>500</v>
      </c>
      <c r="J64" s="16">
        <v>594</v>
      </c>
      <c r="L64" s="54" t="s">
        <v>180</v>
      </c>
    </row>
    <row r="65" spans="1:12">
      <c r="A65" s="43" t="s">
        <v>118</v>
      </c>
      <c r="B65" s="32">
        <v>7414</v>
      </c>
      <c r="C65" s="7">
        <v>20</v>
      </c>
      <c r="D65" s="7">
        <v>10</v>
      </c>
      <c r="E65" s="7">
        <v>15</v>
      </c>
      <c r="F65" s="7">
        <v>30</v>
      </c>
      <c r="G65" s="50">
        <f t="shared" si="0"/>
        <v>50</v>
      </c>
      <c r="H65" s="7">
        <f t="shared" si="1"/>
        <v>300</v>
      </c>
      <c r="I65" s="7">
        <f t="shared" si="2"/>
        <v>600</v>
      </c>
      <c r="J65" s="16">
        <v>594</v>
      </c>
      <c r="L65" s="54" t="s">
        <v>181</v>
      </c>
    </row>
    <row r="66" spans="1:12">
      <c r="A66" s="43" t="s">
        <v>118</v>
      </c>
      <c r="B66" s="32">
        <v>7404</v>
      </c>
      <c r="C66" s="7">
        <v>10</v>
      </c>
      <c r="D66" s="7">
        <v>10</v>
      </c>
      <c r="E66" s="7">
        <v>10</v>
      </c>
      <c r="F66" s="7">
        <v>20</v>
      </c>
      <c r="G66" s="50">
        <f t="shared" si="0"/>
        <v>50</v>
      </c>
      <c r="H66" s="7">
        <f t="shared" si="1"/>
        <v>100</v>
      </c>
      <c r="I66" s="7">
        <f t="shared" si="2"/>
        <v>200</v>
      </c>
      <c r="J66" s="16">
        <v>594</v>
      </c>
      <c r="L66" s="54" t="s">
        <v>181</v>
      </c>
    </row>
    <row r="67" spans="1:12">
      <c r="A67" s="43" t="s">
        <v>118</v>
      </c>
      <c r="B67" s="32">
        <v>7402</v>
      </c>
      <c r="C67" s="7">
        <v>20</v>
      </c>
      <c r="D67" s="7">
        <v>10</v>
      </c>
      <c r="E67" s="7">
        <v>10</v>
      </c>
      <c r="F67" s="7">
        <v>20</v>
      </c>
      <c r="G67" s="50">
        <f t="shared" si="0"/>
        <v>50</v>
      </c>
      <c r="H67" s="7">
        <f t="shared" si="1"/>
        <v>200</v>
      </c>
      <c r="I67" s="7">
        <f t="shared" si="2"/>
        <v>400</v>
      </c>
      <c r="J67" s="16">
        <v>594</v>
      </c>
      <c r="L67" s="54" t="s">
        <v>182</v>
      </c>
    </row>
    <row r="68" spans="1:12">
      <c r="A68" s="43" t="s">
        <v>118</v>
      </c>
      <c r="B68" s="32">
        <v>7407</v>
      </c>
      <c r="C68" s="7">
        <v>20</v>
      </c>
      <c r="D68" s="7">
        <v>10</v>
      </c>
      <c r="E68" s="7">
        <v>10</v>
      </c>
      <c r="F68" s="7">
        <v>20</v>
      </c>
      <c r="G68" s="50">
        <f t="shared" ref="G68:G108" si="3">100-((E68/F68)*100)</f>
        <v>50</v>
      </c>
      <c r="H68" s="7">
        <f t="shared" ref="H68:H108" si="4">+E68*C68</f>
        <v>200</v>
      </c>
      <c r="I68" s="7">
        <f t="shared" ref="I68:I108" si="5">+F68*C68</f>
        <v>400</v>
      </c>
      <c r="J68" s="16">
        <v>594</v>
      </c>
      <c r="L68" s="54" t="s">
        <v>181</v>
      </c>
    </row>
    <row r="69" spans="1:12">
      <c r="A69" s="43" t="s">
        <v>118</v>
      </c>
      <c r="B69" s="32">
        <v>7430</v>
      </c>
      <c r="C69" s="7">
        <v>20</v>
      </c>
      <c r="D69" s="7">
        <v>10</v>
      </c>
      <c r="E69" s="7">
        <v>10</v>
      </c>
      <c r="F69" s="7">
        <v>20</v>
      </c>
      <c r="G69" s="50">
        <f t="shared" si="3"/>
        <v>50</v>
      </c>
      <c r="H69" s="7">
        <f t="shared" si="4"/>
        <v>200</v>
      </c>
      <c r="I69" s="7">
        <f t="shared" si="5"/>
        <v>400</v>
      </c>
      <c r="J69" s="16">
        <v>594</v>
      </c>
      <c r="L69" s="54" t="s">
        <v>183</v>
      </c>
    </row>
    <row r="70" spans="1:12">
      <c r="A70" s="43" t="s">
        <v>118</v>
      </c>
      <c r="B70" s="32">
        <v>7400</v>
      </c>
      <c r="C70" s="7">
        <v>11</v>
      </c>
      <c r="D70" s="7">
        <v>10</v>
      </c>
      <c r="E70" s="7">
        <v>10</v>
      </c>
      <c r="F70" s="7">
        <v>20</v>
      </c>
      <c r="G70" s="50">
        <f t="shared" si="3"/>
        <v>50</v>
      </c>
      <c r="H70" s="7">
        <f t="shared" si="4"/>
        <v>110</v>
      </c>
      <c r="I70" s="7">
        <f t="shared" si="5"/>
        <v>220</v>
      </c>
      <c r="J70" s="16">
        <v>594</v>
      </c>
      <c r="L70" s="54" t="s">
        <v>183</v>
      </c>
    </row>
    <row r="71" spans="1:12">
      <c r="A71" s="43" t="s">
        <v>118</v>
      </c>
      <c r="B71" s="32">
        <v>7410</v>
      </c>
      <c r="C71" s="7">
        <v>20</v>
      </c>
      <c r="D71" s="7">
        <v>10</v>
      </c>
      <c r="E71" s="7">
        <v>10</v>
      </c>
      <c r="F71" s="7">
        <v>20</v>
      </c>
      <c r="G71" s="50">
        <f t="shared" si="3"/>
        <v>50</v>
      </c>
      <c r="H71" s="7">
        <f t="shared" si="4"/>
        <v>200</v>
      </c>
      <c r="I71" s="7">
        <f t="shared" si="5"/>
        <v>400</v>
      </c>
      <c r="J71" s="16">
        <v>594</v>
      </c>
      <c r="L71" s="54" t="s">
        <v>183</v>
      </c>
    </row>
    <row r="72" spans="1:12">
      <c r="A72" s="43" t="s">
        <v>118</v>
      </c>
      <c r="B72" s="32">
        <v>7440</v>
      </c>
      <c r="C72" s="7">
        <v>20</v>
      </c>
      <c r="D72" s="7">
        <v>10</v>
      </c>
      <c r="E72" s="7">
        <v>15</v>
      </c>
      <c r="F72" s="7">
        <v>30</v>
      </c>
      <c r="G72" s="50">
        <f t="shared" si="3"/>
        <v>50</v>
      </c>
      <c r="H72" s="7">
        <f t="shared" si="4"/>
        <v>300</v>
      </c>
      <c r="I72" s="7">
        <f t="shared" si="5"/>
        <v>600</v>
      </c>
      <c r="J72" s="16">
        <v>594</v>
      </c>
      <c r="L72" s="54" t="s">
        <v>183</v>
      </c>
    </row>
    <row r="73" spans="1:12">
      <c r="A73" s="43" t="s">
        <v>118</v>
      </c>
      <c r="B73" s="32">
        <v>7432</v>
      </c>
      <c r="C73" s="7">
        <v>20</v>
      </c>
      <c r="D73" s="7">
        <v>10</v>
      </c>
      <c r="E73" s="7">
        <v>10</v>
      </c>
      <c r="F73" s="7">
        <v>20</v>
      </c>
      <c r="G73" s="50">
        <f t="shared" si="3"/>
        <v>50</v>
      </c>
      <c r="H73" s="7">
        <f t="shared" si="4"/>
        <v>200</v>
      </c>
      <c r="I73" s="7">
        <f t="shared" si="5"/>
        <v>400</v>
      </c>
      <c r="J73" s="16">
        <v>594</v>
      </c>
      <c r="L73" s="54" t="s">
        <v>184</v>
      </c>
    </row>
    <row r="74" spans="1:12">
      <c r="A74" s="43" t="s">
        <v>118</v>
      </c>
      <c r="B74" s="32">
        <v>7411</v>
      </c>
      <c r="C74" s="7">
        <v>20</v>
      </c>
      <c r="D74" s="7">
        <v>10</v>
      </c>
      <c r="E74" s="7">
        <v>10</v>
      </c>
      <c r="F74" s="7">
        <v>20</v>
      </c>
      <c r="G74" s="50">
        <f t="shared" si="3"/>
        <v>50</v>
      </c>
      <c r="H74" s="7">
        <f t="shared" si="4"/>
        <v>200</v>
      </c>
      <c r="I74" s="7">
        <f t="shared" si="5"/>
        <v>400</v>
      </c>
      <c r="J74" s="16">
        <v>594</v>
      </c>
      <c r="L74" s="54" t="s">
        <v>185</v>
      </c>
    </row>
    <row r="75" spans="1:12">
      <c r="A75" s="43" t="s">
        <v>118</v>
      </c>
      <c r="B75" s="32">
        <v>7474</v>
      </c>
      <c r="C75" s="7">
        <v>20</v>
      </c>
      <c r="D75" s="7">
        <v>10</v>
      </c>
      <c r="E75" s="7">
        <v>15</v>
      </c>
      <c r="F75" s="7">
        <v>25</v>
      </c>
      <c r="G75" s="50">
        <f t="shared" si="3"/>
        <v>40</v>
      </c>
      <c r="H75" s="7">
        <f t="shared" si="4"/>
        <v>300</v>
      </c>
      <c r="I75" s="7">
        <f t="shared" si="5"/>
        <v>500</v>
      </c>
      <c r="J75" s="16">
        <v>594</v>
      </c>
      <c r="L75" s="54" t="s">
        <v>179</v>
      </c>
    </row>
    <row r="76" spans="1:12">
      <c r="A76" s="43" t="s">
        <v>118</v>
      </c>
      <c r="B76" s="32">
        <v>7486</v>
      </c>
      <c r="C76" s="7">
        <v>20</v>
      </c>
      <c r="D76" s="7">
        <v>10</v>
      </c>
      <c r="E76" s="7">
        <v>10</v>
      </c>
      <c r="F76" s="7">
        <v>20</v>
      </c>
      <c r="G76" s="50">
        <f t="shared" si="3"/>
        <v>50</v>
      </c>
      <c r="H76" s="7">
        <f t="shared" si="4"/>
        <v>200</v>
      </c>
      <c r="I76" s="7">
        <f t="shared" si="5"/>
        <v>400</v>
      </c>
      <c r="J76" s="16">
        <v>594</v>
      </c>
      <c r="L76" s="54" t="s">
        <v>186</v>
      </c>
    </row>
    <row r="77" spans="1:12">
      <c r="A77" s="43" t="s">
        <v>118</v>
      </c>
      <c r="B77" s="32">
        <v>7447</v>
      </c>
      <c r="C77" s="7">
        <v>20</v>
      </c>
      <c r="D77" s="7">
        <v>10</v>
      </c>
      <c r="E77" s="7">
        <v>20</v>
      </c>
      <c r="F77" s="7">
        <v>40</v>
      </c>
      <c r="G77" s="50">
        <f t="shared" si="3"/>
        <v>50</v>
      </c>
      <c r="H77" s="7">
        <f t="shared" si="4"/>
        <v>400</v>
      </c>
      <c r="I77" s="7">
        <f t="shared" si="5"/>
        <v>800</v>
      </c>
      <c r="J77" s="16">
        <v>594</v>
      </c>
      <c r="L77" s="54" t="s">
        <v>187</v>
      </c>
    </row>
    <row r="78" spans="1:12">
      <c r="A78" s="43" t="s">
        <v>118</v>
      </c>
      <c r="B78" s="32">
        <v>7475</v>
      </c>
      <c r="C78" s="7">
        <v>10</v>
      </c>
      <c r="D78" s="7">
        <v>10</v>
      </c>
      <c r="E78" s="7">
        <v>15</v>
      </c>
      <c r="F78" s="7">
        <v>30</v>
      </c>
      <c r="G78" s="50">
        <f t="shared" si="3"/>
        <v>50</v>
      </c>
      <c r="H78" s="7">
        <f t="shared" si="4"/>
        <v>150</v>
      </c>
      <c r="I78" s="7">
        <f t="shared" si="5"/>
        <v>300</v>
      </c>
      <c r="J78" s="16">
        <v>594</v>
      </c>
      <c r="L78" s="54" t="s">
        <v>175</v>
      </c>
    </row>
    <row r="79" spans="1:12">
      <c r="A79" s="43"/>
      <c r="B79" s="32"/>
      <c r="C79" s="7"/>
      <c r="D79" s="7"/>
      <c r="E79" s="7"/>
      <c r="F79" s="7"/>
      <c r="G79" s="50"/>
      <c r="H79" s="7"/>
      <c r="I79" s="7"/>
      <c r="J79" s="16">
        <v>594</v>
      </c>
      <c r="L79" s="54"/>
    </row>
    <row r="80" spans="1:12">
      <c r="A80" s="43" t="s">
        <v>118</v>
      </c>
      <c r="B80" s="32">
        <v>4024</v>
      </c>
      <c r="C80" s="7">
        <v>6</v>
      </c>
      <c r="D80" s="7">
        <v>0</v>
      </c>
      <c r="E80" s="7">
        <v>15</v>
      </c>
      <c r="F80" s="7">
        <v>30</v>
      </c>
      <c r="G80" s="50">
        <f t="shared" si="3"/>
        <v>50</v>
      </c>
      <c r="H80" s="7">
        <f t="shared" si="4"/>
        <v>90</v>
      </c>
      <c r="I80" s="7">
        <f t="shared" si="5"/>
        <v>180</v>
      </c>
      <c r="J80" s="16">
        <v>594</v>
      </c>
      <c r="L80" s="54" t="s">
        <v>188</v>
      </c>
    </row>
    <row r="81" spans="1:12">
      <c r="A81" s="43" t="s">
        <v>118</v>
      </c>
      <c r="B81" s="32">
        <v>4073</v>
      </c>
      <c r="C81" s="7">
        <v>20</v>
      </c>
      <c r="D81" s="7">
        <v>10</v>
      </c>
      <c r="E81" s="7">
        <v>10</v>
      </c>
      <c r="F81" s="7">
        <v>20</v>
      </c>
      <c r="G81" s="50">
        <f t="shared" si="3"/>
        <v>50</v>
      </c>
      <c r="H81" s="7">
        <f t="shared" si="4"/>
        <v>200</v>
      </c>
      <c r="I81" s="7">
        <f t="shared" si="5"/>
        <v>400</v>
      </c>
      <c r="J81" s="16">
        <v>594</v>
      </c>
      <c r="L81" s="54" t="s">
        <v>185</v>
      </c>
    </row>
    <row r="82" spans="1:12">
      <c r="A82" s="43" t="s">
        <v>118</v>
      </c>
      <c r="B82" s="32">
        <v>4060</v>
      </c>
      <c r="C82" s="7">
        <v>20</v>
      </c>
      <c r="D82" s="7">
        <v>10</v>
      </c>
      <c r="E82" s="7">
        <v>10</v>
      </c>
      <c r="F82" s="7">
        <v>20</v>
      </c>
      <c r="G82" s="50">
        <f t="shared" si="3"/>
        <v>50</v>
      </c>
      <c r="H82" s="7">
        <f t="shared" si="4"/>
        <v>200</v>
      </c>
      <c r="I82" s="7">
        <f t="shared" si="5"/>
        <v>400</v>
      </c>
      <c r="J82" s="16">
        <v>594</v>
      </c>
      <c r="L82" s="54" t="s">
        <v>189</v>
      </c>
    </row>
    <row r="83" spans="1:12">
      <c r="A83" s="43" t="s">
        <v>118</v>
      </c>
      <c r="B83" s="32">
        <v>4047</v>
      </c>
      <c r="C83" s="7">
        <v>20</v>
      </c>
      <c r="D83" s="7">
        <v>10</v>
      </c>
      <c r="E83" s="7">
        <v>15</v>
      </c>
      <c r="F83" s="7">
        <v>30</v>
      </c>
      <c r="G83" s="50">
        <f t="shared" si="3"/>
        <v>50</v>
      </c>
      <c r="H83" s="7">
        <f t="shared" si="4"/>
        <v>300</v>
      </c>
      <c r="I83" s="7">
        <f t="shared" si="5"/>
        <v>600</v>
      </c>
      <c r="J83" s="16">
        <v>594</v>
      </c>
      <c r="L83" s="54" t="s">
        <v>180</v>
      </c>
    </row>
    <row r="84" spans="1:12">
      <c r="A84" s="43" t="s">
        <v>118</v>
      </c>
      <c r="B84" s="32">
        <v>4011</v>
      </c>
      <c r="C84" s="7">
        <v>20</v>
      </c>
      <c r="D84" s="7">
        <v>10</v>
      </c>
      <c r="E84" s="7">
        <v>10</v>
      </c>
      <c r="F84" s="7">
        <v>20</v>
      </c>
      <c r="G84" s="50">
        <f t="shared" si="3"/>
        <v>50</v>
      </c>
      <c r="H84" s="7">
        <f t="shared" si="4"/>
        <v>200</v>
      </c>
      <c r="I84" s="7">
        <f t="shared" si="5"/>
        <v>400</v>
      </c>
      <c r="J84" s="16">
        <v>594</v>
      </c>
      <c r="L84" s="54" t="s">
        <v>183</v>
      </c>
    </row>
    <row r="85" spans="1:12">
      <c r="A85" s="43" t="s">
        <v>118</v>
      </c>
      <c r="B85" s="32">
        <v>4075</v>
      </c>
      <c r="C85" s="7">
        <v>20</v>
      </c>
      <c r="D85" s="7">
        <v>10</v>
      </c>
      <c r="E85" s="7">
        <v>10</v>
      </c>
      <c r="F85" s="7">
        <v>20</v>
      </c>
      <c r="G85" s="50">
        <f t="shared" si="3"/>
        <v>50</v>
      </c>
      <c r="H85" s="7">
        <f t="shared" si="4"/>
        <v>200</v>
      </c>
      <c r="I85" s="7">
        <f t="shared" si="5"/>
        <v>400</v>
      </c>
      <c r="J85" s="16">
        <v>594</v>
      </c>
      <c r="L85" s="54" t="s">
        <v>184</v>
      </c>
    </row>
    <row r="86" spans="1:12">
      <c r="A86" s="43" t="s">
        <v>118</v>
      </c>
      <c r="B86" s="32">
        <v>4081</v>
      </c>
      <c r="C86" s="7">
        <v>20</v>
      </c>
      <c r="D86" s="7">
        <v>10</v>
      </c>
      <c r="E86" s="7">
        <v>10</v>
      </c>
      <c r="F86" s="7">
        <v>20</v>
      </c>
      <c r="G86" s="50">
        <f t="shared" si="3"/>
        <v>50</v>
      </c>
      <c r="H86" s="7">
        <f t="shared" si="4"/>
        <v>200</v>
      </c>
      <c r="I86" s="7">
        <f t="shared" si="5"/>
        <v>400</v>
      </c>
      <c r="J86" s="16">
        <v>594</v>
      </c>
      <c r="L86" s="54" t="s">
        <v>185</v>
      </c>
    </row>
    <row r="87" spans="1:12">
      <c r="A87" s="43" t="s">
        <v>118</v>
      </c>
      <c r="B87" s="32">
        <v>4085</v>
      </c>
      <c r="C87" s="7">
        <v>20</v>
      </c>
      <c r="D87" s="7">
        <v>10</v>
      </c>
      <c r="E87" s="7">
        <v>15</v>
      </c>
      <c r="F87" s="7">
        <v>25</v>
      </c>
      <c r="G87" s="50">
        <f t="shared" si="3"/>
        <v>40</v>
      </c>
      <c r="H87" s="7">
        <f t="shared" si="4"/>
        <v>300</v>
      </c>
      <c r="I87" s="7">
        <f t="shared" si="5"/>
        <v>500</v>
      </c>
      <c r="J87" s="16">
        <v>594</v>
      </c>
      <c r="L87" s="54" t="s">
        <v>190</v>
      </c>
    </row>
    <row r="88" spans="1:12">
      <c r="A88" s="43" t="s">
        <v>118</v>
      </c>
      <c r="B88" s="32">
        <v>4007</v>
      </c>
      <c r="C88" s="7">
        <v>20</v>
      </c>
      <c r="D88" s="7">
        <v>10</v>
      </c>
      <c r="E88" s="7">
        <v>15</v>
      </c>
      <c r="F88" s="7">
        <v>30</v>
      </c>
      <c r="G88" s="50">
        <f t="shared" si="3"/>
        <v>50</v>
      </c>
      <c r="H88" s="7">
        <f t="shared" si="4"/>
        <v>300</v>
      </c>
      <c r="I88" s="7">
        <f t="shared" si="5"/>
        <v>600</v>
      </c>
      <c r="J88" s="16">
        <v>594</v>
      </c>
      <c r="L88" s="54" t="s">
        <v>191</v>
      </c>
    </row>
    <row r="89" spans="1:12">
      <c r="A89" s="43" t="s">
        <v>118</v>
      </c>
      <c r="B89" s="32">
        <v>4001</v>
      </c>
      <c r="C89" s="7">
        <v>20</v>
      </c>
      <c r="D89" s="7">
        <v>10</v>
      </c>
      <c r="E89" s="7">
        <v>15</v>
      </c>
      <c r="F89" s="7">
        <v>30</v>
      </c>
      <c r="G89" s="50">
        <f t="shared" si="3"/>
        <v>50</v>
      </c>
      <c r="H89" s="7">
        <f t="shared" si="4"/>
        <v>300</v>
      </c>
      <c r="I89" s="7">
        <f t="shared" si="5"/>
        <v>600</v>
      </c>
      <c r="J89" s="16">
        <v>594</v>
      </c>
      <c r="L89" s="54" t="s">
        <v>182</v>
      </c>
    </row>
    <row r="90" spans="1:12">
      <c r="A90" s="43" t="s">
        <v>118</v>
      </c>
      <c r="B90" s="32">
        <v>4033</v>
      </c>
      <c r="C90" s="7">
        <v>20</v>
      </c>
      <c r="D90" s="7">
        <v>10</v>
      </c>
      <c r="E90" s="7">
        <v>50</v>
      </c>
      <c r="F90" s="7">
        <v>75</v>
      </c>
      <c r="G90" s="50">
        <f t="shared" si="3"/>
        <v>33.333333333333343</v>
      </c>
      <c r="H90" s="7">
        <f t="shared" si="4"/>
        <v>1000</v>
      </c>
      <c r="I90" s="7">
        <f t="shared" si="5"/>
        <v>1500</v>
      </c>
      <c r="J90" s="16">
        <v>594</v>
      </c>
      <c r="L90" s="54" t="s">
        <v>192</v>
      </c>
    </row>
    <row r="91" spans="1:12">
      <c r="A91" s="43" t="s">
        <v>118</v>
      </c>
      <c r="B91" s="32">
        <v>4017</v>
      </c>
      <c r="C91" s="7">
        <v>20</v>
      </c>
      <c r="D91" s="7">
        <v>10</v>
      </c>
      <c r="E91" s="7">
        <v>7</v>
      </c>
      <c r="F91" s="7">
        <v>20</v>
      </c>
      <c r="G91" s="50">
        <f t="shared" si="3"/>
        <v>65</v>
      </c>
      <c r="H91" s="7">
        <f t="shared" si="4"/>
        <v>140</v>
      </c>
      <c r="I91" s="7">
        <f t="shared" si="5"/>
        <v>400</v>
      </c>
      <c r="J91" s="16">
        <v>594</v>
      </c>
      <c r="L91" s="54" t="s">
        <v>188</v>
      </c>
    </row>
    <row r="92" spans="1:12">
      <c r="A92" s="43" t="s">
        <v>118</v>
      </c>
      <c r="B92" s="32">
        <v>4013</v>
      </c>
      <c r="C92" s="7">
        <v>20</v>
      </c>
      <c r="D92" s="7">
        <v>10</v>
      </c>
      <c r="E92" s="7">
        <v>10</v>
      </c>
      <c r="F92" s="7">
        <v>20</v>
      </c>
      <c r="G92" s="50">
        <f t="shared" si="3"/>
        <v>50</v>
      </c>
      <c r="H92" s="7">
        <f t="shared" si="4"/>
        <v>200</v>
      </c>
      <c r="I92" s="7">
        <f t="shared" si="5"/>
        <v>400</v>
      </c>
      <c r="J92" s="16">
        <v>594</v>
      </c>
      <c r="L92" s="54" t="s">
        <v>179</v>
      </c>
    </row>
    <row r="93" spans="1:12">
      <c r="A93" s="43" t="s">
        <v>118</v>
      </c>
      <c r="B93" s="32">
        <v>4022</v>
      </c>
      <c r="C93" s="7">
        <v>20</v>
      </c>
      <c r="D93" s="7">
        <v>10</v>
      </c>
      <c r="E93" s="7">
        <v>15</v>
      </c>
      <c r="F93" s="7">
        <v>30</v>
      </c>
      <c r="G93" s="50">
        <f t="shared" si="3"/>
        <v>50</v>
      </c>
      <c r="H93" s="7">
        <f t="shared" si="4"/>
        <v>300</v>
      </c>
      <c r="I93" s="7">
        <f t="shared" si="5"/>
        <v>600</v>
      </c>
      <c r="J93" s="16">
        <v>594</v>
      </c>
      <c r="L93" s="54" t="s">
        <v>189</v>
      </c>
    </row>
    <row r="94" spans="1:12">
      <c r="A94" s="43" t="s">
        <v>118</v>
      </c>
      <c r="B94" s="32">
        <v>4016</v>
      </c>
      <c r="C94" s="7">
        <v>20</v>
      </c>
      <c r="D94" s="7">
        <v>10</v>
      </c>
      <c r="E94" s="7">
        <v>15</v>
      </c>
      <c r="F94" s="7">
        <v>25</v>
      </c>
      <c r="G94" s="50">
        <f t="shared" si="3"/>
        <v>40</v>
      </c>
      <c r="H94" s="7">
        <f t="shared" si="4"/>
        <v>300</v>
      </c>
      <c r="I94" s="7">
        <f t="shared" si="5"/>
        <v>500</v>
      </c>
      <c r="J94" s="16">
        <v>594</v>
      </c>
      <c r="L94" s="54" t="s">
        <v>193</v>
      </c>
    </row>
    <row r="95" spans="1:12">
      <c r="A95" s="43" t="s">
        <v>118</v>
      </c>
      <c r="B95" s="32">
        <v>4094</v>
      </c>
      <c r="C95" s="7">
        <v>20</v>
      </c>
      <c r="D95" s="7">
        <v>10</v>
      </c>
      <c r="E95" s="7">
        <v>20</v>
      </c>
      <c r="F95" s="7">
        <v>35</v>
      </c>
      <c r="G95" s="50">
        <f t="shared" si="3"/>
        <v>42.857142857142861</v>
      </c>
      <c r="H95" s="7">
        <f t="shared" si="4"/>
        <v>400</v>
      </c>
      <c r="I95" s="7">
        <f t="shared" si="5"/>
        <v>700</v>
      </c>
      <c r="J95" s="16">
        <v>594</v>
      </c>
      <c r="L95" s="54" t="s">
        <v>194</v>
      </c>
    </row>
    <row r="96" spans="1:12">
      <c r="A96" s="43" t="s">
        <v>118</v>
      </c>
      <c r="B96" s="32">
        <v>4066</v>
      </c>
      <c r="C96" s="7">
        <v>20</v>
      </c>
      <c r="D96" s="7">
        <v>10</v>
      </c>
      <c r="E96" s="7">
        <v>10</v>
      </c>
      <c r="F96" s="7">
        <v>20</v>
      </c>
      <c r="G96" s="50">
        <f t="shared" si="3"/>
        <v>50</v>
      </c>
      <c r="H96" s="7">
        <f t="shared" si="4"/>
        <v>200</v>
      </c>
      <c r="I96" s="7">
        <f t="shared" si="5"/>
        <v>400</v>
      </c>
      <c r="J96" s="16">
        <v>594</v>
      </c>
      <c r="L96" s="54" t="s">
        <v>193</v>
      </c>
    </row>
    <row r="97" spans="1:12">
      <c r="A97" s="43" t="s">
        <v>118</v>
      </c>
      <c r="B97" s="32">
        <v>4051</v>
      </c>
      <c r="C97" s="7">
        <v>20</v>
      </c>
      <c r="D97" s="7">
        <v>10</v>
      </c>
      <c r="E97" s="7">
        <v>10</v>
      </c>
      <c r="F97" s="7">
        <v>20</v>
      </c>
      <c r="G97" s="50">
        <f t="shared" si="3"/>
        <v>50</v>
      </c>
      <c r="H97" s="7">
        <f t="shared" si="4"/>
        <v>200</v>
      </c>
      <c r="I97" s="7">
        <f t="shared" si="5"/>
        <v>400</v>
      </c>
      <c r="J97" s="16">
        <v>594</v>
      </c>
      <c r="L97" s="54" t="s">
        <v>193</v>
      </c>
    </row>
    <row r="98" spans="1:12">
      <c r="A98" s="43" t="s">
        <v>118</v>
      </c>
      <c r="B98" s="32">
        <v>4069</v>
      </c>
      <c r="C98" s="7">
        <v>20</v>
      </c>
      <c r="D98" s="7">
        <v>10</v>
      </c>
      <c r="E98" s="7">
        <v>10</v>
      </c>
      <c r="F98" s="7">
        <v>20</v>
      </c>
      <c r="G98" s="50">
        <f t="shared" si="3"/>
        <v>50</v>
      </c>
      <c r="H98" s="7">
        <f t="shared" si="4"/>
        <v>200</v>
      </c>
      <c r="I98" s="7">
        <f t="shared" si="5"/>
        <v>400</v>
      </c>
      <c r="J98" s="16">
        <v>594</v>
      </c>
      <c r="L98" s="54" t="s">
        <v>181</v>
      </c>
    </row>
    <row r="99" spans="1:12">
      <c r="A99" s="43" t="s">
        <v>118</v>
      </c>
      <c r="B99" s="32">
        <v>4093</v>
      </c>
      <c r="C99" s="7">
        <v>20</v>
      </c>
      <c r="D99" s="7">
        <v>10</v>
      </c>
      <c r="E99" s="7">
        <v>10</v>
      </c>
      <c r="F99" s="7">
        <v>20</v>
      </c>
      <c r="G99" s="50">
        <f t="shared" si="3"/>
        <v>50</v>
      </c>
      <c r="H99" s="7">
        <f t="shared" si="4"/>
        <v>200</v>
      </c>
      <c r="I99" s="7">
        <f t="shared" si="5"/>
        <v>400</v>
      </c>
      <c r="J99" s="16">
        <v>594</v>
      </c>
      <c r="L99" s="54" t="s">
        <v>183</v>
      </c>
    </row>
    <row r="100" spans="1:12">
      <c r="A100" s="43" t="s">
        <v>118</v>
      </c>
      <c r="B100" s="32">
        <v>40106</v>
      </c>
      <c r="C100" s="7">
        <v>20</v>
      </c>
      <c r="D100" s="7">
        <v>10</v>
      </c>
      <c r="E100" s="7">
        <v>10</v>
      </c>
      <c r="F100" s="7">
        <v>20</v>
      </c>
      <c r="G100" s="50">
        <f t="shared" si="3"/>
        <v>50</v>
      </c>
      <c r="H100" s="7">
        <f t="shared" si="4"/>
        <v>200</v>
      </c>
      <c r="I100" s="7">
        <f t="shared" si="5"/>
        <v>400</v>
      </c>
      <c r="J100" s="16">
        <v>594</v>
      </c>
      <c r="L100" s="54" t="s">
        <v>190</v>
      </c>
    </row>
    <row r="101" spans="1:12">
      <c r="A101" s="43" t="s">
        <v>118</v>
      </c>
      <c r="B101" s="32">
        <v>4027</v>
      </c>
      <c r="C101" s="7">
        <v>20</v>
      </c>
      <c r="D101" s="7">
        <v>10</v>
      </c>
      <c r="E101" s="7">
        <v>15</v>
      </c>
      <c r="F101" s="7">
        <v>30</v>
      </c>
      <c r="G101" s="50">
        <f t="shared" si="3"/>
        <v>50</v>
      </c>
      <c r="H101" s="7">
        <f t="shared" si="4"/>
        <v>300</v>
      </c>
      <c r="I101" s="7">
        <f t="shared" si="5"/>
        <v>600</v>
      </c>
      <c r="J101" s="16">
        <v>594</v>
      </c>
      <c r="L101" s="54" t="s">
        <v>195</v>
      </c>
    </row>
    <row r="102" spans="1:12">
      <c r="A102" s="43" t="s">
        <v>118</v>
      </c>
      <c r="B102" s="32">
        <v>4028</v>
      </c>
      <c r="C102" s="7">
        <v>5</v>
      </c>
      <c r="D102" s="7">
        <v>0</v>
      </c>
      <c r="E102" s="7">
        <v>20</v>
      </c>
      <c r="F102" s="7">
        <v>40</v>
      </c>
      <c r="G102" s="50">
        <f t="shared" si="3"/>
        <v>50</v>
      </c>
      <c r="H102" s="7">
        <f t="shared" si="4"/>
        <v>100</v>
      </c>
      <c r="I102" s="7">
        <f t="shared" si="5"/>
        <v>200</v>
      </c>
      <c r="J102" s="16">
        <v>594</v>
      </c>
      <c r="L102" s="54" t="s">
        <v>196</v>
      </c>
    </row>
    <row r="103" spans="1:12">
      <c r="A103" s="43" t="s">
        <v>118</v>
      </c>
      <c r="B103" s="32">
        <v>4049</v>
      </c>
      <c r="C103" s="7">
        <v>0</v>
      </c>
      <c r="D103" s="7">
        <v>0</v>
      </c>
      <c r="E103" s="7">
        <v>20</v>
      </c>
      <c r="F103" s="7">
        <v>40</v>
      </c>
      <c r="G103" s="50">
        <f t="shared" si="3"/>
        <v>50</v>
      </c>
      <c r="H103" s="7">
        <f t="shared" si="4"/>
        <v>0</v>
      </c>
      <c r="I103" s="7">
        <f t="shared" si="5"/>
        <v>0</v>
      </c>
      <c r="J103" s="16">
        <v>594</v>
      </c>
      <c r="L103" s="54" t="s">
        <v>190</v>
      </c>
    </row>
    <row r="104" spans="1:12">
      <c r="A104" s="43"/>
      <c r="B104" s="32"/>
      <c r="C104" s="7"/>
      <c r="D104" s="7"/>
      <c r="E104" s="7"/>
      <c r="F104" s="7"/>
      <c r="G104" s="50"/>
      <c r="H104" s="7"/>
      <c r="I104" s="7"/>
      <c r="J104" s="16">
        <v>594</v>
      </c>
      <c r="L104" s="54"/>
    </row>
    <row r="105" spans="1:12">
      <c r="A105" s="43" t="s">
        <v>118</v>
      </c>
      <c r="B105" s="32">
        <v>4541</v>
      </c>
      <c r="C105" s="7">
        <v>20</v>
      </c>
      <c r="D105" s="7">
        <v>10</v>
      </c>
      <c r="E105" s="7">
        <v>15</v>
      </c>
      <c r="F105" s="7">
        <v>25</v>
      </c>
      <c r="G105" s="50">
        <f t="shared" si="3"/>
        <v>40</v>
      </c>
      <c r="H105" s="7">
        <f t="shared" si="4"/>
        <v>300</v>
      </c>
      <c r="I105" s="7">
        <f t="shared" si="5"/>
        <v>500</v>
      </c>
      <c r="J105" s="16">
        <v>594</v>
      </c>
      <c r="L105" s="54" t="s">
        <v>197</v>
      </c>
    </row>
    <row r="106" spans="1:12">
      <c r="A106" s="43" t="s">
        <v>118</v>
      </c>
      <c r="B106" s="32">
        <v>4585</v>
      </c>
      <c r="C106" s="7">
        <v>20</v>
      </c>
      <c r="D106" s="7">
        <v>10</v>
      </c>
      <c r="E106" s="7">
        <v>20</v>
      </c>
      <c r="F106" s="7">
        <v>35</v>
      </c>
      <c r="G106" s="50">
        <f t="shared" si="3"/>
        <v>42.857142857142861</v>
      </c>
      <c r="H106" s="7">
        <f t="shared" si="4"/>
        <v>400</v>
      </c>
      <c r="I106" s="7">
        <f t="shared" si="5"/>
        <v>700</v>
      </c>
      <c r="J106" s="16">
        <v>594</v>
      </c>
      <c r="L106" s="54" t="s">
        <v>198</v>
      </c>
    </row>
    <row r="107" spans="1:12">
      <c r="A107" s="43" t="s">
        <v>118</v>
      </c>
      <c r="B107" s="32">
        <v>4518</v>
      </c>
      <c r="C107" s="7">
        <v>20</v>
      </c>
      <c r="D107" s="7">
        <v>10</v>
      </c>
      <c r="E107" s="7">
        <v>10</v>
      </c>
      <c r="F107" s="7">
        <v>20</v>
      </c>
      <c r="G107" s="50">
        <f t="shared" si="3"/>
        <v>50</v>
      </c>
      <c r="H107" s="7">
        <f t="shared" si="4"/>
        <v>200</v>
      </c>
      <c r="I107" s="7">
        <f t="shared" si="5"/>
        <v>400</v>
      </c>
      <c r="J107" s="16">
        <v>594</v>
      </c>
      <c r="L107" s="54" t="s">
        <v>188</v>
      </c>
    </row>
    <row r="108" spans="1:12">
      <c r="A108" s="43" t="s">
        <v>118</v>
      </c>
      <c r="B108" s="32">
        <v>4511</v>
      </c>
      <c r="C108" s="7">
        <v>20</v>
      </c>
      <c r="D108" s="7">
        <v>10</v>
      </c>
      <c r="E108" s="7">
        <v>10</v>
      </c>
      <c r="F108" s="7">
        <v>20</v>
      </c>
      <c r="G108" s="50">
        <f t="shared" si="3"/>
        <v>50</v>
      </c>
      <c r="H108" s="7">
        <f t="shared" si="4"/>
        <v>200</v>
      </c>
      <c r="I108" s="7">
        <f t="shared" si="5"/>
        <v>400</v>
      </c>
      <c r="J108" s="16">
        <v>594</v>
      </c>
      <c r="L108" s="54" t="s">
        <v>199</v>
      </c>
    </row>
    <row r="109" spans="1:12">
      <c r="H109" s="53">
        <f>SUM(H2:H108)</f>
        <v>40952</v>
      </c>
      <c r="I109" s="53">
        <f>SUM(I2:I108)</f>
        <v>81035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J53"/>
  <sheetViews>
    <sheetView workbookViewId="0">
      <selection activeCell="C1" sqref="C1"/>
    </sheetView>
  </sheetViews>
  <sheetFormatPr defaultRowHeight="15"/>
  <cols>
    <col min="1" max="1" width="20.7109375" style="37" bestFit="1" customWidth="1"/>
    <col min="2" max="2" width="16.85546875" style="37" customWidth="1"/>
    <col min="3" max="3" width="12" customWidth="1"/>
    <col min="4" max="4" width="12.85546875" bestFit="1" customWidth="1"/>
  </cols>
  <sheetData>
    <row r="1" spans="1:10" ht="15.75" thickBot="1">
      <c r="B1" s="28"/>
      <c r="C1" s="24" t="s">
        <v>475</v>
      </c>
      <c r="D1" s="45" t="s">
        <v>542</v>
      </c>
      <c r="E1" s="19" t="s">
        <v>612</v>
      </c>
      <c r="F1" s="49" t="s">
        <v>613</v>
      </c>
      <c r="G1" s="9" t="s">
        <v>641</v>
      </c>
      <c r="H1" s="55" t="s">
        <v>614</v>
      </c>
      <c r="I1" s="56" t="s">
        <v>615</v>
      </c>
      <c r="J1" s="51" t="s">
        <v>626</v>
      </c>
    </row>
    <row r="2" spans="1:10">
      <c r="A2" s="28" t="s">
        <v>200</v>
      </c>
      <c r="B2" s="32" t="s">
        <v>202</v>
      </c>
      <c r="C2" s="7">
        <v>500</v>
      </c>
      <c r="D2" s="7">
        <v>100</v>
      </c>
      <c r="E2" s="18">
        <v>0.5</v>
      </c>
      <c r="F2" s="18">
        <v>3</v>
      </c>
      <c r="G2" s="50">
        <f>100-((E2/F2)*100)</f>
        <v>83.333333333333343</v>
      </c>
      <c r="H2" s="18">
        <f>+E2*C2</f>
        <v>250</v>
      </c>
      <c r="I2" s="18">
        <f>+F2*C2</f>
        <v>1500</v>
      </c>
      <c r="J2" s="16">
        <v>594</v>
      </c>
    </row>
    <row r="3" spans="1:10">
      <c r="A3" s="28" t="s">
        <v>200</v>
      </c>
      <c r="B3" s="32" t="s">
        <v>203</v>
      </c>
      <c r="C3" s="7">
        <v>200</v>
      </c>
      <c r="D3" s="7">
        <v>100</v>
      </c>
      <c r="E3" s="7">
        <v>0.5</v>
      </c>
      <c r="F3" s="7">
        <v>3</v>
      </c>
      <c r="G3" s="50">
        <f t="shared" ref="G3:G52" si="0">100-((E3/F3)*100)</f>
        <v>83.333333333333343</v>
      </c>
      <c r="H3" s="7">
        <f t="shared" ref="H3:H52" si="1">+E3*C3</f>
        <v>100</v>
      </c>
      <c r="I3" s="7">
        <f t="shared" ref="I3:I52" si="2">+F3*C3</f>
        <v>600</v>
      </c>
      <c r="J3" s="16">
        <v>594</v>
      </c>
    </row>
    <row r="4" spans="1:10">
      <c r="A4" s="28" t="s">
        <v>200</v>
      </c>
      <c r="B4" s="32" t="s">
        <v>204</v>
      </c>
      <c r="C4" s="7">
        <v>400</v>
      </c>
      <c r="D4" s="7">
        <v>100</v>
      </c>
      <c r="E4" s="7">
        <v>0.5</v>
      </c>
      <c r="F4" s="7">
        <v>3</v>
      </c>
      <c r="G4" s="50">
        <f t="shared" si="0"/>
        <v>83.333333333333343</v>
      </c>
      <c r="H4" s="7">
        <f t="shared" si="1"/>
        <v>200</v>
      </c>
      <c r="I4" s="7">
        <f t="shared" si="2"/>
        <v>1200</v>
      </c>
      <c r="J4" s="16">
        <v>594</v>
      </c>
    </row>
    <row r="5" spans="1:10">
      <c r="A5" s="28" t="s">
        <v>200</v>
      </c>
      <c r="B5" s="32" t="s">
        <v>205</v>
      </c>
      <c r="C5" s="7">
        <v>500</v>
      </c>
      <c r="D5" s="7">
        <v>100</v>
      </c>
      <c r="E5" s="7">
        <v>0.5</v>
      </c>
      <c r="F5" s="7">
        <v>3</v>
      </c>
      <c r="G5" s="50">
        <f t="shared" si="0"/>
        <v>83.333333333333343</v>
      </c>
      <c r="H5" s="7">
        <f t="shared" si="1"/>
        <v>250</v>
      </c>
      <c r="I5" s="7">
        <f t="shared" si="2"/>
        <v>1500</v>
      </c>
      <c r="J5" s="16">
        <v>594</v>
      </c>
    </row>
    <row r="6" spans="1:10">
      <c r="A6" s="28" t="s">
        <v>200</v>
      </c>
      <c r="B6" s="32" t="s">
        <v>206</v>
      </c>
      <c r="C6" s="7">
        <v>400</v>
      </c>
      <c r="D6" s="7">
        <v>10</v>
      </c>
      <c r="E6" s="7">
        <v>1</v>
      </c>
      <c r="F6" s="7">
        <v>3</v>
      </c>
      <c r="G6" s="50">
        <f t="shared" si="0"/>
        <v>66.666666666666671</v>
      </c>
      <c r="H6" s="7">
        <f t="shared" si="1"/>
        <v>400</v>
      </c>
      <c r="I6" s="7">
        <f t="shared" si="2"/>
        <v>1200</v>
      </c>
      <c r="J6" s="16">
        <v>594</v>
      </c>
    </row>
    <row r="7" spans="1:10">
      <c r="A7" s="28" t="s">
        <v>200</v>
      </c>
      <c r="B7" s="32" t="s">
        <v>207</v>
      </c>
      <c r="C7" s="7">
        <v>400</v>
      </c>
      <c r="D7" s="7">
        <v>10</v>
      </c>
      <c r="E7" s="7">
        <v>1</v>
      </c>
      <c r="F7" s="7">
        <v>3</v>
      </c>
      <c r="G7" s="50">
        <f t="shared" si="0"/>
        <v>66.666666666666671</v>
      </c>
      <c r="H7" s="7">
        <f t="shared" si="1"/>
        <v>400</v>
      </c>
      <c r="I7" s="7">
        <f t="shared" si="2"/>
        <v>1200</v>
      </c>
      <c r="J7" s="16">
        <v>594</v>
      </c>
    </row>
    <row r="8" spans="1:10">
      <c r="A8" s="28" t="s">
        <v>200</v>
      </c>
      <c r="B8" s="32" t="s">
        <v>208</v>
      </c>
      <c r="C8" s="7">
        <v>3</v>
      </c>
      <c r="D8" s="7">
        <v>0</v>
      </c>
      <c r="E8" s="7">
        <v>1</v>
      </c>
      <c r="F8" s="7">
        <v>3</v>
      </c>
      <c r="G8" s="50">
        <f t="shared" si="0"/>
        <v>66.666666666666671</v>
      </c>
      <c r="H8" s="7">
        <f t="shared" si="1"/>
        <v>3</v>
      </c>
      <c r="I8" s="7">
        <f t="shared" si="2"/>
        <v>9</v>
      </c>
      <c r="J8" s="16">
        <v>594</v>
      </c>
    </row>
    <row r="9" spans="1:10">
      <c r="A9" s="28" t="s">
        <v>200</v>
      </c>
      <c r="B9" s="32" t="s">
        <v>209</v>
      </c>
      <c r="C9" s="7">
        <v>30</v>
      </c>
      <c r="D9" s="7">
        <v>10</v>
      </c>
      <c r="E9" s="7">
        <v>10</v>
      </c>
      <c r="F9" s="7">
        <v>20</v>
      </c>
      <c r="G9" s="50">
        <f t="shared" si="0"/>
        <v>50</v>
      </c>
      <c r="H9" s="7">
        <f t="shared" si="1"/>
        <v>300</v>
      </c>
      <c r="I9" s="7">
        <f t="shared" si="2"/>
        <v>600</v>
      </c>
      <c r="J9" s="16">
        <v>594</v>
      </c>
    </row>
    <row r="10" spans="1:10">
      <c r="A10" s="28" t="s">
        <v>200</v>
      </c>
      <c r="B10" s="32" t="s">
        <v>210</v>
      </c>
      <c r="C10" s="7">
        <v>40</v>
      </c>
      <c r="D10" s="7">
        <v>10</v>
      </c>
      <c r="E10" s="7">
        <v>10</v>
      </c>
      <c r="F10" s="7">
        <v>20</v>
      </c>
      <c r="G10" s="50">
        <f t="shared" si="0"/>
        <v>50</v>
      </c>
      <c r="H10" s="7">
        <f t="shared" si="1"/>
        <v>400</v>
      </c>
      <c r="I10" s="7">
        <f t="shared" si="2"/>
        <v>800</v>
      </c>
      <c r="J10" s="16">
        <v>594</v>
      </c>
    </row>
    <row r="11" spans="1:10">
      <c r="A11" s="28" t="s">
        <v>201</v>
      </c>
      <c r="B11" s="32">
        <v>7805</v>
      </c>
      <c r="C11" s="7">
        <v>40</v>
      </c>
      <c r="D11" s="7">
        <v>50</v>
      </c>
      <c r="E11" s="7">
        <v>6</v>
      </c>
      <c r="F11" s="7">
        <v>10</v>
      </c>
      <c r="G11" s="50">
        <f t="shared" si="0"/>
        <v>40</v>
      </c>
      <c r="H11" s="7">
        <f t="shared" si="1"/>
        <v>240</v>
      </c>
      <c r="I11" s="7">
        <f t="shared" si="2"/>
        <v>400</v>
      </c>
      <c r="J11" s="16">
        <v>594</v>
      </c>
    </row>
    <row r="12" spans="1:10">
      <c r="A12" s="28" t="s">
        <v>201</v>
      </c>
      <c r="B12" s="32">
        <v>7806</v>
      </c>
      <c r="C12" s="7">
        <v>60</v>
      </c>
      <c r="D12" s="7">
        <v>10</v>
      </c>
      <c r="E12" s="7">
        <v>6</v>
      </c>
      <c r="F12" s="7">
        <v>10</v>
      </c>
      <c r="G12" s="50">
        <f t="shared" si="0"/>
        <v>40</v>
      </c>
      <c r="H12" s="7">
        <f t="shared" si="1"/>
        <v>360</v>
      </c>
      <c r="I12" s="7">
        <f t="shared" si="2"/>
        <v>600</v>
      </c>
      <c r="J12" s="16">
        <v>594</v>
      </c>
    </row>
    <row r="13" spans="1:10">
      <c r="A13" s="28" t="s">
        <v>201</v>
      </c>
      <c r="B13" s="32">
        <v>7812</v>
      </c>
      <c r="C13" s="7">
        <v>30</v>
      </c>
      <c r="D13" s="7">
        <v>10</v>
      </c>
      <c r="E13" s="7">
        <v>6</v>
      </c>
      <c r="F13" s="7">
        <v>10</v>
      </c>
      <c r="G13" s="50">
        <f t="shared" si="0"/>
        <v>40</v>
      </c>
      <c r="H13" s="7">
        <f t="shared" si="1"/>
        <v>180</v>
      </c>
      <c r="I13" s="7">
        <f t="shared" si="2"/>
        <v>300</v>
      </c>
      <c r="J13" s="16">
        <v>594</v>
      </c>
    </row>
    <row r="14" spans="1:10">
      <c r="A14" s="28" t="s">
        <v>201</v>
      </c>
      <c r="B14" s="32">
        <v>7815</v>
      </c>
      <c r="C14" s="7">
        <v>20</v>
      </c>
      <c r="D14" s="7">
        <v>20</v>
      </c>
      <c r="E14" s="7">
        <v>6</v>
      </c>
      <c r="F14" s="7">
        <v>10</v>
      </c>
      <c r="G14" s="50">
        <f t="shared" si="0"/>
        <v>40</v>
      </c>
      <c r="H14" s="7">
        <f t="shared" si="1"/>
        <v>120</v>
      </c>
      <c r="I14" s="7">
        <f t="shared" si="2"/>
        <v>200</v>
      </c>
      <c r="J14" s="16">
        <v>594</v>
      </c>
    </row>
    <row r="15" spans="1:10">
      <c r="A15" s="28" t="s">
        <v>201</v>
      </c>
      <c r="B15" s="32">
        <v>7905</v>
      </c>
      <c r="C15" s="7">
        <v>10</v>
      </c>
      <c r="D15" s="7">
        <v>10</v>
      </c>
      <c r="E15" s="7">
        <v>6</v>
      </c>
      <c r="F15" s="7">
        <v>10</v>
      </c>
      <c r="G15" s="50">
        <f t="shared" si="0"/>
        <v>40</v>
      </c>
      <c r="H15" s="7">
        <f t="shared" si="1"/>
        <v>60</v>
      </c>
      <c r="I15" s="7">
        <f t="shared" si="2"/>
        <v>100</v>
      </c>
      <c r="J15" s="16">
        <v>594</v>
      </c>
    </row>
    <row r="16" spans="1:10">
      <c r="A16" s="28" t="s">
        <v>201</v>
      </c>
      <c r="B16" s="32">
        <v>7912</v>
      </c>
      <c r="C16" s="7">
        <v>12</v>
      </c>
      <c r="D16" s="7">
        <v>10</v>
      </c>
      <c r="E16" s="7">
        <v>6</v>
      </c>
      <c r="F16" s="7">
        <v>10</v>
      </c>
      <c r="G16" s="50">
        <f t="shared" si="0"/>
        <v>40</v>
      </c>
      <c r="H16" s="7">
        <f t="shared" si="1"/>
        <v>72</v>
      </c>
      <c r="I16" s="7">
        <f t="shared" si="2"/>
        <v>120</v>
      </c>
      <c r="J16" s="16">
        <v>594</v>
      </c>
    </row>
    <row r="17" spans="1:10">
      <c r="A17" s="28" t="s">
        <v>201</v>
      </c>
      <c r="B17" s="32">
        <v>7915</v>
      </c>
      <c r="C17" s="7">
        <v>10</v>
      </c>
      <c r="D17" s="7">
        <v>10</v>
      </c>
      <c r="E17" s="7">
        <v>6</v>
      </c>
      <c r="F17" s="7">
        <v>10</v>
      </c>
      <c r="G17" s="50">
        <f t="shared" si="0"/>
        <v>40</v>
      </c>
      <c r="H17" s="7">
        <f t="shared" si="1"/>
        <v>60</v>
      </c>
      <c r="I17" s="7">
        <f t="shared" si="2"/>
        <v>100</v>
      </c>
      <c r="J17" s="16">
        <v>594</v>
      </c>
    </row>
    <row r="18" spans="1:10">
      <c r="A18" s="28" t="s">
        <v>201</v>
      </c>
      <c r="B18" s="32">
        <v>7808</v>
      </c>
      <c r="C18" s="7">
        <v>30</v>
      </c>
      <c r="D18" s="7">
        <v>10</v>
      </c>
      <c r="E18" s="7">
        <v>6</v>
      </c>
      <c r="F18" s="7">
        <v>10</v>
      </c>
      <c r="G18" s="50">
        <f t="shared" si="0"/>
        <v>40</v>
      </c>
      <c r="H18" s="7">
        <f t="shared" si="1"/>
        <v>180</v>
      </c>
      <c r="I18" s="7">
        <f t="shared" si="2"/>
        <v>300</v>
      </c>
      <c r="J18" s="16">
        <v>594</v>
      </c>
    </row>
    <row r="19" spans="1:10">
      <c r="A19" s="28" t="s">
        <v>148</v>
      </c>
      <c r="B19" s="32" t="s">
        <v>211</v>
      </c>
      <c r="C19" s="7">
        <v>40</v>
      </c>
      <c r="D19" s="7">
        <v>20</v>
      </c>
      <c r="E19" s="7">
        <v>1</v>
      </c>
      <c r="F19" s="7">
        <v>10</v>
      </c>
      <c r="G19" s="50">
        <f t="shared" si="0"/>
        <v>90</v>
      </c>
      <c r="H19" s="7">
        <f t="shared" si="1"/>
        <v>40</v>
      </c>
      <c r="I19" s="7">
        <f t="shared" si="2"/>
        <v>400</v>
      </c>
      <c r="J19" s="16">
        <v>644</v>
      </c>
    </row>
    <row r="20" spans="1:10">
      <c r="A20" s="28" t="s">
        <v>148</v>
      </c>
      <c r="B20" s="32" t="s">
        <v>212</v>
      </c>
      <c r="C20" s="7">
        <v>0</v>
      </c>
      <c r="D20" s="7">
        <v>10</v>
      </c>
      <c r="E20" s="7">
        <v>3</v>
      </c>
      <c r="F20" s="7">
        <v>10</v>
      </c>
      <c r="G20" s="50">
        <f t="shared" si="0"/>
        <v>70</v>
      </c>
      <c r="H20" s="7">
        <f t="shared" si="1"/>
        <v>0</v>
      </c>
      <c r="I20" s="7">
        <f t="shared" si="2"/>
        <v>0</v>
      </c>
      <c r="J20" s="16">
        <v>594</v>
      </c>
    </row>
    <row r="21" spans="1:10">
      <c r="A21" s="28" t="s">
        <v>148</v>
      </c>
      <c r="B21" s="32" t="s">
        <v>213</v>
      </c>
      <c r="C21" s="7">
        <v>50</v>
      </c>
      <c r="D21" s="7">
        <v>10</v>
      </c>
      <c r="E21" s="7">
        <v>6</v>
      </c>
      <c r="F21" s="7">
        <v>15</v>
      </c>
      <c r="G21" s="50">
        <f t="shared" si="0"/>
        <v>60</v>
      </c>
      <c r="H21" s="7">
        <f t="shared" si="1"/>
        <v>300</v>
      </c>
      <c r="I21" s="7">
        <f t="shared" si="2"/>
        <v>750</v>
      </c>
      <c r="J21" s="16">
        <v>594</v>
      </c>
    </row>
    <row r="22" spans="1:10">
      <c r="A22" s="28" t="s">
        <v>148</v>
      </c>
      <c r="B22" s="32" t="s">
        <v>214</v>
      </c>
      <c r="C22" s="7">
        <v>50</v>
      </c>
      <c r="D22" s="7">
        <v>10</v>
      </c>
      <c r="E22" s="7">
        <v>10</v>
      </c>
      <c r="F22" s="7">
        <v>20</v>
      </c>
      <c r="G22" s="50">
        <f t="shared" si="0"/>
        <v>50</v>
      </c>
      <c r="H22" s="7">
        <f t="shared" si="1"/>
        <v>500</v>
      </c>
      <c r="I22" s="7">
        <f t="shared" si="2"/>
        <v>1000</v>
      </c>
      <c r="J22" s="16">
        <v>594</v>
      </c>
    </row>
    <row r="23" spans="1:10">
      <c r="A23" s="28" t="s">
        <v>148</v>
      </c>
      <c r="B23" s="32" t="s">
        <v>215</v>
      </c>
      <c r="C23" s="7">
        <v>12</v>
      </c>
      <c r="D23" s="7">
        <v>10</v>
      </c>
      <c r="E23" s="7">
        <v>10</v>
      </c>
      <c r="F23" s="7">
        <v>20</v>
      </c>
      <c r="G23" s="50">
        <f t="shared" si="0"/>
        <v>50</v>
      </c>
      <c r="H23" s="7">
        <f t="shared" si="1"/>
        <v>120</v>
      </c>
      <c r="I23" s="7">
        <f t="shared" si="2"/>
        <v>240</v>
      </c>
      <c r="J23" s="16">
        <v>594</v>
      </c>
    </row>
    <row r="24" spans="1:10">
      <c r="A24" s="28" t="s">
        <v>148</v>
      </c>
      <c r="B24" s="32" t="s">
        <v>216</v>
      </c>
      <c r="C24" s="7">
        <v>5</v>
      </c>
      <c r="D24" s="7">
        <v>0</v>
      </c>
      <c r="E24" s="7">
        <v>2</v>
      </c>
      <c r="F24" s="7">
        <v>5</v>
      </c>
      <c r="G24" s="50">
        <f t="shared" si="0"/>
        <v>60</v>
      </c>
      <c r="H24" s="7">
        <f t="shared" si="1"/>
        <v>10</v>
      </c>
      <c r="I24" s="7">
        <f t="shared" si="2"/>
        <v>25</v>
      </c>
      <c r="J24" s="16">
        <v>594</v>
      </c>
    </row>
    <row r="25" spans="1:10">
      <c r="A25" s="28" t="s">
        <v>148</v>
      </c>
      <c r="B25" s="32" t="s">
        <v>217</v>
      </c>
      <c r="C25" s="7">
        <v>10</v>
      </c>
      <c r="D25" s="7">
        <v>10</v>
      </c>
      <c r="E25" s="7">
        <v>10</v>
      </c>
      <c r="F25" s="7">
        <v>20</v>
      </c>
      <c r="G25" s="50">
        <f t="shared" si="0"/>
        <v>50</v>
      </c>
      <c r="H25" s="7">
        <f t="shared" si="1"/>
        <v>100</v>
      </c>
      <c r="I25" s="7">
        <f t="shared" si="2"/>
        <v>200</v>
      </c>
      <c r="J25" s="16">
        <v>594</v>
      </c>
    </row>
    <row r="26" spans="1:10">
      <c r="A26" s="28" t="s">
        <v>148</v>
      </c>
      <c r="B26" s="32" t="s">
        <v>218</v>
      </c>
      <c r="C26" s="7">
        <v>10</v>
      </c>
      <c r="D26" s="7">
        <v>10</v>
      </c>
      <c r="E26" s="7">
        <v>10</v>
      </c>
      <c r="F26" s="7">
        <v>20</v>
      </c>
      <c r="G26" s="50">
        <f t="shared" si="0"/>
        <v>50</v>
      </c>
      <c r="H26" s="7">
        <f t="shared" si="1"/>
        <v>100</v>
      </c>
      <c r="I26" s="7">
        <f t="shared" si="2"/>
        <v>200</v>
      </c>
      <c r="J26" s="16">
        <v>594</v>
      </c>
    </row>
    <row r="27" spans="1:10">
      <c r="A27" s="28" t="s">
        <v>148</v>
      </c>
      <c r="B27" s="32" t="s">
        <v>219</v>
      </c>
      <c r="C27" s="7">
        <v>50</v>
      </c>
      <c r="D27" s="7">
        <v>10</v>
      </c>
      <c r="E27" s="7">
        <v>5</v>
      </c>
      <c r="F27" s="7">
        <v>10</v>
      </c>
      <c r="G27" s="50">
        <f t="shared" si="0"/>
        <v>50</v>
      </c>
      <c r="H27" s="7">
        <f t="shared" si="1"/>
        <v>250</v>
      </c>
      <c r="I27" s="7">
        <f t="shared" si="2"/>
        <v>500</v>
      </c>
      <c r="J27" s="16">
        <v>594</v>
      </c>
    </row>
    <row r="28" spans="1:10">
      <c r="A28" s="28" t="s">
        <v>148</v>
      </c>
      <c r="B28" s="32" t="s">
        <v>220</v>
      </c>
      <c r="C28" s="7">
        <v>15</v>
      </c>
      <c r="D28" s="7">
        <v>10</v>
      </c>
      <c r="E28" s="7">
        <v>10</v>
      </c>
      <c r="F28" s="7">
        <v>20</v>
      </c>
      <c r="G28" s="50">
        <f t="shared" si="0"/>
        <v>50</v>
      </c>
      <c r="H28" s="7">
        <f t="shared" si="1"/>
        <v>150</v>
      </c>
      <c r="I28" s="7">
        <f t="shared" si="2"/>
        <v>300</v>
      </c>
      <c r="J28" s="16">
        <v>594</v>
      </c>
    </row>
    <row r="29" spans="1:10">
      <c r="A29" s="28" t="s">
        <v>148</v>
      </c>
      <c r="B29" s="32" t="s">
        <v>221</v>
      </c>
      <c r="C29" s="7">
        <v>40</v>
      </c>
      <c r="D29" s="7">
        <v>10</v>
      </c>
      <c r="E29" s="7">
        <v>5</v>
      </c>
      <c r="F29" s="7">
        <v>10</v>
      </c>
      <c r="G29" s="50">
        <f t="shared" si="0"/>
        <v>50</v>
      </c>
      <c r="H29" s="7">
        <f t="shared" si="1"/>
        <v>200</v>
      </c>
      <c r="I29" s="7">
        <f t="shared" si="2"/>
        <v>400</v>
      </c>
      <c r="J29" s="16">
        <v>594</v>
      </c>
    </row>
    <row r="30" spans="1:10">
      <c r="A30" s="28" t="s">
        <v>148</v>
      </c>
      <c r="B30" s="32" t="s">
        <v>222</v>
      </c>
      <c r="C30" s="7">
        <v>5</v>
      </c>
      <c r="D30" s="7">
        <v>0</v>
      </c>
      <c r="E30" s="7">
        <v>5</v>
      </c>
      <c r="F30" s="7">
        <v>10</v>
      </c>
      <c r="G30" s="50">
        <f t="shared" si="0"/>
        <v>50</v>
      </c>
      <c r="H30" s="7">
        <f t="shared" si="1"/>
        <v>25</v>
      </c>
      <c r="I30" s="7">
        <f t="shared" si="2"/>
        <v>50</v>
      </c>
      <c r="J30" s="16">
        <v>594</v>
      </c>
    </row>
    <row r="31" spans="1:10">
      <c r="A31" s="28" t="s">
        <v>148</v>
      </c>
      <c r="B31" s="32" t="s">
        <v>223</v>
      </c>
      <c r="C31" s="7">
        <v>40</v>
      </c>
      <c r="D31" s="7">
        <v>10</v>
      </c>
      <c r="E31" s="7">
        <v>10</v>
      </c>
      <c r="F31" s="7">
        <v>20</v>
      </c>
      <c r="G31" s="50">
        <f t="shared" si="0"/>
        <v>50</v>
      </c>
      <c r="H31" s="7">
        <f t="shared" si="1"/>
        <v>400</v>
      </c>
      <c r="I31" s="7">
        <f t="shared" si="2"/>
        <v>800</v>
      </c>
      <c r="J31" s="16">
        <v>594</v>
      </c>
    </row>
    <row r="32" spans="1:10">
      <c r="A32" s="28" t="s">
        <v>148</v>
      </c>
      <c r="B32" s="32" t="s">
        <v>224</v>
      </c>
      <c r="C32" s="7">
        <v>50</v>
      </c>
      <c r="D32" s="7">
        <v>10</v>
      </c>
      <c r="E32" s="7">
        <v>5</v>
      </c>
      <c r="F32" s="7">
        <v>10</v>
      </c>
      <c r="G32" s="50">
        <f t="shared" si="0"/>
        <v>50</v>
      </c>
      <c r="H32" s="7">
        <f t="shared" si="1"/>
        <v>250</v>
      </c>
      <c r="I32" s="7">
        <f t="shared" si="2"/>
        <v>500</v>
      </c>
      <c r="J32" s="16">
        <v>594</v>
      </c>
    </row>
    <row r="33" spans="1:10">
      <c r="A33" s="28" t="s">
        <v>148</v>
      </c>
      <c r="B33" s="32" t="s">
        <v>225</v>
      </c>
      <c r="C33" s="7">
        <v>20</v>
      </c>
      <c r="D33" s="7">
        <v>10</v>
      </c>
      <c r="E33" s="7">
        <v>5</v>
      </c>
      <c r="F33" s="7">
        <v>10</v>
      </c>
      <c r="G33" s="50">
        <f t="shared" si="0"/>
        <v>50</v>
      </c>
      <c r="H33" s="7">
        <f t="shared" si="1"/>
        <v>100</v>
      </c>
      <c r="I33" s="7">
        <f t="shared" si="2"/>
        <v>200</v>
      </c>
      <c r="J33" s="16">
        <v>594</v>
      </c>
    </row>
    <row r="34" spans="1:10">
      <c r="A34" s="28" t="s">
        <v>148</v>
      </c>
      <c r="B34" s="32" t="s">
        <v>226</v>
      </c>
      <c r="C34" s="7">
        <v>40</v>
      </c>
      <c r="D34" s="7">
        <v>10</v>
      </c>
      <c r="E34" s="7">
        <v>6</v>
      </c>
      <c r="F34" s="7">
        <v>10</v>
      </c>
      <c r="G34" s="50">
        <f t="shared" si="0"/>
        <v>40</v>
      </c>
      <c r="H34" s="7">
        <f t="shared" si="1"/>
        <v>240</v>
      </c>
      <c r="I34" s="7">
        <f t="shared" si="2"/>
        <v>400</v>
      </c>
      <c r="J34" s="16">
        <v>594</v>
      </c>
    </row>
    <row r="35" spans="1:10">
      <c r="A35" s="28" t="s">
        <v>148</v>
      </c>
      <c r="B35" s="32" t="s">
        <v>231</v>
      </c>
      <c r="C35" s="7">
        <v>6</v>
      </c>
      <c r="D35" s="7">
        <v>5</v>
      </c>
      <c r="E35" s="7">
        <v>50</v>
      </c>
      <c r="F35" s="7">
        <v>75</v>
      </c>
      <c r="G35" s="50">
        <f t="shared" si="0"/>
        <v>33.333333333333343</v>
      </c>
      <c r="H35" s="7">
        <f t="shared" si="1"/>
        <v>300</v>
      </c>
      <c r="I35" s="7">
        <f t="shared" si="2"/>
        <v>450</v>
      </c>
      <c r="J35" s="16">
        <v>594</v>
      </c>
    </row>
    <row r="36" spans="1:10">
      <c r="A36" s="28" t="s">
        <v>148</v>
      </c>
      <c r="B36" s="32" t="s">
        <v>232</v>
      </c>
      <c r="C36" s="7">
        <v>50</v>
      </c>
      <c r="D36" s="7">
        <v>10</v>
      </c>
      <c r="E36" s="7">
        <v>2</v>
      </c>
      <c r="F36" s="7">
        <v>5</v>
      </c>
      <c r="G36" s="50">
        <f t="shared" si="0"/>
        <v>60</v>
      </c>
      <c r="H36" s="7">
        <f t="shared" si="1"/>
        <v>100</v>
      </c>
      <c r="I36" s="7">
        <f t="shared" si="2"/>
        <v>250</v>
      </c>
      <c r="J36" s="16">
        <v>594</v>
      </c>
    </row>
    <row r="37" spans="1:10">
      <c r="A37" s="28" t="s">
        <v>148</v>
      </c>
      <c r="B37" s="32" t="s">
        <v>233</v>
      </c>
      <c r="C37" s="7">
        <v>55</v>
      </c>
      <c r="D37" s="7">
        <v>100</v>
      </c>
      <c r="E37" s="7">
        <v>2</v>
      </c>
      <c r="F37" s="7">
        <v>5</v>
      </c>
      <c r="G37" s="50">
        <f t="shared" si="0"/>
        <v>60</v>
      </c>
      <c r="H37" s="7">
        <f t="shared" si="1"/>
        <v>110</v>
      </c>
      <c r="I37" s="7">
        <f t="shared" si="2"/>
        <v>275</v>
      </c>
      <c r="J37" s="16">
        <v>594</v>
      </c>
    </row>
    <row r="38" spans="1:10">
      <c r="A38" s="28" t="s">
        <v>227</v>
      </c>
      <c r="B38" s="32" t="s">
        <v>228</v>
      </c>
      <c r="C38" s="7">
        <v>4</v>
      </c>
      <c r="D38" s="7">
        <v>0</v>
      </c>
      <c r="E38" s="7">
        <v>20</v>
      </c>
      <c r="F38" s="7">
        <v>30</v>
      </c>
      <c r="G38" s="50">
        <f t="shared" si="0"/>
        <v>33.333333333333343</v>
      </c>
      <c r="H38" s="7">
        <f t="shared" si="1"/>
        <v>80</v>
      </c>
      <c r="I38" s="7">
        <f t="shared" si="2"/>
        <v>120</v>
      </c>
      <c r="J38" s="16">
        <v>594</v>
      </c>
    </row>
    <row r="39" spans="1:10">
      <c r="A39" s="28" t="s">
        <v>229</v>
      </c>
      <c r="B39" s="32" t="s">
        <v>230</v>
      </c>
      <c r="C39" s="7">
        <v>0</v>
      </c>
      <c r="D39" s="7">
        <v>10</v>
      </c>
      <c r="E39" s="7">
        <v>10</v>
      </c>
      <c r="F39" s="7">
        <v>20</v>
      </c>
      <c r="G39" s="50">
        <f t="shared" si="0"/>
        <v>50</v>
      </c>
      <c r="H39" s="7">
        <f t="shared" si="1"/>
        <v>0</v>
      </c>
      <c r="I39" s="7">
        <f t="shared" si="2"/>
        <v>0</v>
      </c>
      <c r="J39" s="16">
        <v>594</v>
      </c>
    </row>
    <row r="40" spans="1:10">
      <c r="A40" s="28"/>
      <c r="B40" s="32"/>
      <c r="C40" s="7"/>
      <c r="D40" s="7"/>
      <c r="E40" s="7"/>
      <c r="F40" s="7"/>
      <c r="G40" s="50"/>
      <c r="H40" s="7"/>
      <c r="I40" s="7"/>
      <c r="J40" s="16">
        <v>594</v>
      </c>
    </row>
    <row r="41" spans="1:10">
      <c r="A41" s="28" t="s">
        <v>308</v>
      </c>
      <c r="B41" s="32" t="s">
        <v>329</v>
      </c>
      <c r="C41" s="7">
        <v>200</v>
      </c>
      <c r="D41" s="7">
        <v>100</v>
      </c>
      <c r="E41" s="7">
        <v>0.5</v>
      </c>
      <c r="F41" s="7">
        <v>1</v>
      </c>
      <c r="G41" s="50">
        <f t="shared" si="0"/>
        <v>50</v>
      </c>
      <c r="H41" s="7">
        <f t="shared" si="1"/>
        <v>100</v>
      </c>
      <c r="I41" s="7">
        <f t="shared" si="2"/>
        <v>200</v>
      </c>
      <c r="J41" s="16">
        <v>594</v>
      </c>
    </row>
    <row r="42" spans="1:10">
      <c r="A42" s="28" t="s">
        <v>308</v>
      </c>
      <c r="B42" s="32" t="s">
        <v>330</v>
      </c>
      <c r="C42" s="7">
        <v>20</v>
      </c>
      <c r="D42" s="7">
        <v>10</v>
      </c>
      <c r="E42" s="7">
        <v>6</v>
      </c>
      <c r="F42" s="7">
        <v>10</v>
      </c>
      <c r="G42" s="50">
        <f t="shared" si="0"/>
        <v>40</v>
      </c>
      <c r="H42" s="7">
        <f t="shared" si="1"/>
        <v>120</v>
      </c>
      <c r="I42" s="7">
        <f t="shared" si="2"/>
        <v>200</v>
      </c>
      <c r="J42" s="16">
        <v>594</v>
      </c>
    </row>
    <row r="43" spans="1:10">
      <c r="A43" s="28" t="s">
        <v>308</v>
      </c>
      <c r="B43" s="32">
        <v>5819</v>
      </c>
      <c r="C43" s="7">
        <v>30</v>
      </c>
      <c r="D43" s="7">
        <v>10</v>
      </c>
      <c r="E43" s="7">
        <v>0.5</v>
      </c>
      <c r="F43" s="7">
        <v>1</v>
      </c>
      <c r="G43" s="50">
        <f t="shared" si="0"/>
        <v>50</v>
      </c>
      <c r="H43" s="7">
        <f t="shared" si="1"/>
        <v>15</v>
      </c>
      <c r="I43" s="7">
        <f t="shared" si="2"/>
        <v>30</v>
      </c>
      <c r="J43" s="16">
        <v>594</v>
      </c>
    </row>
    <row r="44" spans="1:10">
      <c r="A44" s="28" t="s">
        <v>308</v>
      </c>
      <c r="B44" s="32" t="s">
        <v>337</v>
      </c>
      <c r="C44" s="7">
        <v>20</v>
      </c>
      <c r="D44" s="7">
        <v>10</v>
      </c>
      <c r="E44" s="7">
        <v>10</v>
      </c>
      <c r="F44" s="7">
        <v>20</v>
      </c>
      <c r="G44" s="50">
        <f t="shared" si="0"/>
        <v>50</v>
      </c>
      <c r="H44" s="7">
        <f t="shared" si="1"/>
        <v>200</v>
      </c>
      <c r="I44" s="7">
        <f t="shared" si="2"/>
        <v>400</v>
      </c>
      <c r="J44" s="16">
        <v>594</v>
      </c>
    </row>
    <row r="45" spans="1:10">
      <c r="A45" s="42" t="s">
        <v>309</v>
      </c>
      <c r="B45" s="32">
        <v>4148</v>
      </c>
      <c r="C45" s="7">
        <v>500</v>
      </c>
      <c r="D45" s="7">
        <v>100</v>
      </c>
      <c r="E45" s="7">
        <v>0.5</v>
      </c>
      <c r="F45" s="7">
        <v>1</v>
      </c>
      <c r="G45" s="50">
        <f t="shared" si="0"/>
        <v>50</v>
      </c>
      <c r="H45" s="7">
        <f t="shared" si="1"/>
        <v>250</v>
      </c>
      <c r="I45" s="7">
        <f t="shared" si="2"/>
        <v>500</v>
      </c>
      <c r="J45" s="16">
        <v>594</v>
      </c>
    </row>
    <row r="46" spans="1:10">
      <c r="A46" s="42" t="s">
        <v>309</v>
      </c>
      <c r="B46" s="32" t="s">
        <v>331</v>
      </c>
      <c r="C46" s="7">
        <v>200</v>
      </c>
      <c r="D46" s="7">
        <v>50</v>
      </c>
      <c r="E46" s="7">
        <v>0.5</v>
      </c>
      <c r="F46" s="7">
        <v>1</v>
      </c>
      <c r="G46" s="50">
        <f t="shared" si="0"/>
        <v>50</v>
      </c>
      <c r="H46" s="7">
        <f t="shared" si="1"/>
        <v>100</v>
      </c>
      <c r="I46" s="7">
        <f t="shared" si="2"/>
        <v>200</v>
      </c>
      <c r="J46" s="16">
        <v>594</v>
      </c>
    </row>
    <row r="47" spans="1:10">
      <c r="A47" s="42" t="s">
        <v>309</v>
      </c>
      <c r="B47" s="32" t="s">
        <v>332</v>
      </c>
      <c r="C47" s="7">
        <v>50</v>
      </c>
      <c r="D47" s="7">
        <v>50</v>
      </c>
      <c r="E47" s="7">
        <v>0.5</v>
      </c>
      <c r="F47" s="7">
        <v>1</v>
      </c>
      <c r="G47" s="50">
        <f t="shared" si="0"/>
        <v>50</v>
      </c>
      <c r="H47" s="7">
        <f t="shared" si="1"/>
        <v>25</v>
      </c>
      <c r="I47" s="7">
        <f t="shared" si="2"/>
        <v>50</v>
      </c>
      <c r="J47" s="16">
        <v>594</v>
      </c>
    </row>
    <row r="48" spans="1:10">
      <c r="A48" s="42" t="s">
        <v>309</v>
      </c>
      <c r="B48" s="32" t="s">
        <v>333</v>
      </c>
      <c r="C48" s="7">
        <v>10</v>
      </c>
      <c r="D48" s="7">
        <v>50</v>
      </c>
      <c r="E48" s="7">
        <v>0.5</v>
      </c>
      <c r="F48" s="7">
        <v>1</v>
      </c>
      <c r="G48" s="50">
        <f t="shared" si="0"/>
        <v>50</v>
      </c>
      <c r="H48" s="7">
        <f t="shared" si="1"/>
        <v>5</v>
      </c>
      <c r="I48" s="7">
        <f t="shared" si="2"/>
        <v>10</v>
      </c>
      <c r="J48" s="16">
        <v>594</v>
      </c>
    </row>
    <row r="49" spans="1:10">
      <c r="A49" s="42" t="s">
        <v>309</v>
      </c>
      <c r="B49" s="32" t="s">
        <v>109</v>
      </c>
      <c r="C49" s="7">
        <v>100</v>
      </c>
      <c r="D49" s="7">
        <v>50</v>
      </c>
      <c r="E49" s="7">
        <v>0.5</v>
      </c>
      <c r="F49" s="7">
        <v>1</v>
      </c>
      <c r="G49" s="50">
        <f t="shared" si="0"/>
        <v>50</v>
      </c>
      <c r="H49" s="7">
        <f t="shared" si="1"/>
        <v>50</v>
      </c>
      <c r="I49" s="7">
        <f t="shared" si="2"/>
        <v>100</v>
      </c>
      <c r="J49" s="16">
        <v>594</v>
      </c>
    </row>
    <row r="50" spans="1:10">
      <c r="A50" s="42" t="s">
        <v>309</v>
      </c>
      <c r="B50" s="32" t="s">
        <v>334</v>
      </c>
      <c r="C50" s="7">
        <v>300</v>
      </c>
      <c r="D50" s="7">
        <v>50</v>
      </c>
      <c r="E50" s="7">
        <v>0.5</v>
      </c>
      <c r="F50" s="7">
        <v>1</v>
      </c>
      <c r="G50" s="50">
        <f t="shared" si="0"/>
        <v>50</v>
      </c>
      <c r="H50" s="7">
        <f t="shared" si="1"/>
        <v>150</v>
      </c>
      <c r="I50" s="7">
        <f t="shared" si="2"/>
        <v>300</v>
      </c>
      <c r="J50" s="16">
        <v>594</v>
      </c>
    </row>
    <row r="51" spans="1:10">
      <c r="A51" s="42" t="s">
        <v>309</v>
      </c>
      <c r="B51" s="32" t="s">
        <v>335</v>
      </c>
      <c r="C51" s="7">
        <v>500</v>
      </c>
      <c r="D51" s="7">
        <v>50</v>
      </c>
      <c r="E51" s="7">
        <v>0.5</v>
      </c>
      <c r="F51" s="7">
        <v>1</v>
      </c>
      <c r="G51" s="50">
        <f t="shared" si="0"/>
        <v>50</v>
      </c>
      <c r="H51" s="7">
        <f t="shared" si="1"/>
        <v>250</v>
      </c>
      <c r="I51" s="7">
        <f t="shared" si="2"/>
        <v>500</v>
      </c>
      <c r="J51" s="16">
        <v>594</v>
      </c>
    </row>
    <row r="52" spans="1:10">
      <c r="A52" s="42" t="s">
        <v>309</v>
      </c>
      <c r="B52" s="32" t="s">
        <v>336</v>
      </c>
      <c r="C52" s="7">
        <v>200</v>
      </c>
      <c r="D52" s="7">
        <v>50</v>
      </c>
      <c r="E52" s="7">
        <v>0.5</v>
      </c>
      <c r="F52" s="7">
        <v>1</v>
      </c>
      <c r="G52" s="50">
        <f t="shared" si="0"/>
        <v>50</v>
      </c>
      <c r="H52" s="7">
        <f t="shared" si="1"/>
        <v>100</v>
      </c>
      <c r="I52" s="7">
        <f t="shared" si="2"/>
        <v>200</v>
      </c>
      <c r="J52" s="16">
        <v>594</v>
      </c>
    </row>
    <row r="53" spans="1:10">
      <c r="H53" s="53">
        <f>SUM(H2:H52)</f>
        <v>8315</v>
      </c>
      <c r="I53" s="53">
        <f>SUM(I2:I52)</f>
        <v>20479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J84"/>
  <sheetViews>
    <sheetView topLeftCell="A50" workbookViewId="0">
      <selection activeCell="C84" sqref="C84"/>
    </sheetView>
  </sheetViews>
  <sheetFormatPr defaultRowHeight="15"/>
  <cols>
    <col min="1" max="1" width="9.140625" style="37"/>
    <col min="2" max="2" width="26.140625" style="37" bestFit="1" customWidth="1"/>
    <col min="3" max="3" width="10.140625" bestFit="1" customWidth="1"/>
    <col min="4" max="4" width="10.5703125" bestFit="1" customWidth="1"/>
    <col min="10" max="10" width="18.42578125" customWidth="1"/>
  </cols>
  <sheetData>
    <row r="1" spans="1:10">
      <c r="B1" s="36"/>
      <c r="C1" s="26" t="s">
        <v>474</v>
      </c>
      <c r="D1" s="45" t="s">
        <v>542</v>
      </c>
      <c r="E1" s="10" t="s">
        <v>612</v>
      </c>
      <c r="F1" s="12" t="s">
        <v>613</v>
      </c>
      <c r="G1" s="9" t="s">
        <v>641</v>
      </c>
      <c r="H1" s="57" t="s">
        <v>614</v>
      </c>
      <c r="I1" s="58" t="s">
        <v>615</v>
      </c>
      <c r="J1" s="51" t="s">
        <v>626</v>
      </c>
    </row>
    <row r="2" spans="1:10">
      <c r="A2" s="28" t="s">
        <v>234</v>
      </c>
      <c r="B2" s="32" t="s">
        <v>239</v>
      </c>
      <c r="C2" s="7">
        <v>2</v>
      </c>
      <c r="D2" s="7">
        <v>5</v>
      </c>
      <c r="E2" s="7">
        <v>90</v>
      </c>
      <c r="F2" s="7">
        <v>120</v>
      </c>
      <c r="G2" s="50">
        <f>100-((E2/F2)*100)</f>
        <v>25</v>
      </c>
      <c r="H2" s="7">
        <f>+E2*C2</f>
        <v>180</v>
      </c>
      <c r="I2" s="7">
        <f>+F2*C2</f>
        <v>240</v>
      </c>
      <c r="J2" s="7" t="s">
        <v>630</v>
      </c>
    </row>
    <row r="3" spans="1:10">
      <c r="A3" s="28" t="s">
        <v>234</v>
      </c>
      <c r="B3" s="32" t="s">
        <v>240</v>
      </c>
      <c r="C3" s="7">
        <v>1</v>
      </c>
      <c r="D3" s="7">
        <v>5</v>
      </c>
      <c r="E3" s="7">
        <v>725</v>
      </c>
      <c r="F3" s="13">
        <v>1050</v>
      </c>
      <c r="G3" s="50">
        <f t="shared" ref="G3:G67" si="0">100-((E3/F3)*100)</f>
        <v>30.952380952380949</v>
      </c>
      <c r="H3" s="7">
        <f t="shared" ref="H3:H68" si="1">+E3*C3</f>
        <v>725</v>
      </c>
      <c r="I3" s="7">
        <f t="shared" ref="I3:I68" si="2">+F3*C3</f>
        <v>1050</v>
      </c>
      <c r="J3" s="7">
        <v>644</v>
      </c>
    </row>
    <row r="4" spans="1:10">
      <c r="A4" s="28" t="s">
        <v>234</v>
      </c>
      <c r="B4" s="32" t="s">
        <v>242</v>
      </c>
      <c r="C4" s="7">
        <v>4</v>
      </c>
      <c r="D4" s="7">
        <v>5</v>
      </c>
      <c r="E4" s="7">
        <v>90</v>
      </c>
      <c r="F4" s="7">
        <v>120</v>
      </c>
      <c r="G4" s="50">
        <f t="shared" si="0"/>
        <v>25</v>
      </c>
      <c r="H4" s="7">
        <f t="shared" si="1"/>
        <v>360</v>
      </c>
      <c r="I4" s="7">
        <f t="shared" si="2"/>
        <v>480</v>
      </c>
      <c r="J4" s="7" t="s">
        <v>630</v>
      </c>
    </row>
    <row r="5" spans="1:10">
      <c r="A5" s="28" t="s">
        <v>234</v>
      </c>
      <c r="B5" s="32" t="s">
        <v>250</v>
      </c>
      <c r="C5" s="7">
        <v>3</v>
      </c>
      <c r="D5" s="7">
        <v>5</v>
      </c>
      <c r="E5" s="7">
        <v>90</v>
      </c>
      <c r="F5" s="7">
        <v>120</v>
      </c>
      <c r="G5" s="50">
        <f t="shared" si="0"/>
        <v>25</v>
      </c>
      <c r="H5" s="7">
        <f t="shared" si="1"/>
        <v>270</v>
      </c>
      <c r="I5" s="7">
        <f t="shared" si="2"/>
        <v>360</v>
      </c>
      <c r="J5" s="7" t="s">
        <v>630</v>
      </c>
    </row>
    <row r="6" spans="1:10">
      <c r="A6" s="28" t="s">
        <v>234</v>
      </c>
      <c r="B6" s="32" t="s">
        <v>344</v>
      </c>
      <c r="C6" s="7">
        <v>6</v>
      </c>
      <c r="D6" s="7">
        <v>5</v>
      </c>
      <c r="E6" s="7">
        <v>140</v>
      </c>
      <c r="F6" s="13">
        <v>180</v>
      </c>
      <c r="G6" s="50">
        <f t="shared" si="0"/>
        <v>22.222222222222214</v>
      </c>
      <c r="H6" s="7">
        <f t="shared" si="1"/>
        <v>840</v>
      </c>
      <c r="I6" s="7">
        <f t="shared" si="2"/>
        <v>1080</v>
      </c>
      <c r="J6" s="7" t="s">
        <v>630</v>
      </c>
    </row>
    <row r="7" spans="1:10">
      <c r="A7" s="28" t="s">
        <v>234</v>
      </c>
      <c r="B7" s="32" t="s">
        <v>253</v>
      </c>
      <c r="C7" s="7">
        <v>6</v>
      </c>
      <c r="D7" s="7">
        <v>5</v>
      </c>
      <c r="E7" s="7">
        <v>200</v>
      </c>
      <c r="F7" s="13">
        <v>260</v>
      </c>
      <c r="G7" s="50">
        <f t="shared" si="0"/>
        <v>23.076923076923066</v>
      </c>
      <c r="H7" s="7">
        <f t="shared" si="1"/>
        <v>1200</v>
      </c>
      <c r="I7" s="7">
        <f t="shared" si="2"/>
        <v>1560</v>
      </c>
      <c r="J7" s="7" t="s">
        <v>630</v>
      </c>
    </row>
    <row r="8" spans="1:10">
      <c r="A8" s="28" t="s">
        <v>234</v>
      </c>
      <c r="B8" s="33" t="s">
        <v>311</v>
      </c>
      <c r="C8" s="7">
        <v>6</v>
      </c>
      <c r="D8" s="7">
        <v>5</v>
      </c>
      <c r="E8" s="7">
        <v>350</v>
      </c>
      <c r="F8" s="7">
        <v>450</v>
      </c>
      <c r="G8" s="50">
        <f t="shared" si="0"/>
        <v>22.222222222222214</v>
      </c>
      <c r="H8" s="7">
        <f t="shared" si="1"/>
        <v>2100</v>
      </c>
      <c r="I8" s="7">
        <f t="shared" si="2"/>
        <v>2700</v>
      </c>
      <c r="J8" s="7" t="s">
        <v>630</v>
      </c>
    </row>
    <row r="9" spans="1:10">
      <c r="A9" s="28" t="s">
        <v>234</v>
      </c>
      <c r="B9" s="33" t="s">
        <v>312</v>
      </c>
      <c r="C9" s="7">
        <v>1</v>
      </c>
      <c r="D9" s="7">
        <v>5</v>
      </c>
      <c r="E9" s="7">
        <v>650</v>
      </c>
      <c r="F9" s="15">
        <v>850</v>
      </c>
      <c r="G9" s="50">
        <f t="shared" si="0"/>
        <v>23.529411764705884</v>
      </c>
      <c r="H9" s="7">
        <f t="shared" si="1"/>
        <v>650</v>
      </c>
      <c r="I9" s="7">
        <f t="shared" si="2"/>
        <v>850</v>
      </c>
      <c r="J9" s="7" t="s">
        <v>630</v>
      </c>
    </row>
    <row r="10" spans="1:10">
      <c r="A10" s="28" t="s">
        <v>234</v>
      </c>
      <c r="B10" s="33" t="s">
        <v>720</v>
      </c>
      <c r="C10" s="7">
        <v>1</v>
      </c>
      <c r="D10" s="7">
        <v>5</v>
      </c>
      <c r="E10" s="7">
        <v>300</v>
      </c>
      <c r="F10" s="15">
        <v>450</v>
      </c>
      <c r="G10" s="50">
        <f t="shared" si="0"/>
        <v>33.333333333333343</v>
      </c>
      <c r="H10" s="7">
        <f t="shared" si="1"/>
        <v>300</v>
      </c>
      <c r="I10" s="7">
        <f t="shared" si="2"/>
        <v>450</v>
      </c>
      <c r="J10" s="7">
        <v>644</v>
      </c>
    </row>
    <row r="11" spans="1:10">
      <c r="A11" s="28" t="s">
        <v>234</v>
      </c>
      <c r="B11" s="32" t="s">
        <v>254</v>
      </c>
      <c r="C11" s="7">
        <v>1</v>
      </c>
      <c r="D11" s="7">
        <v>5</v>
      </c>
      <c r="E11" s="7">
        <v>300</v>
      </c>
      <c r="F11" s="13">
        <v>400</v>
      </c>
      <c r="G11" s="50">
        <f t="shared" si="0"/>
        <v>25</v>
      </c>
      <c r="H11" s="7">
        <f t="shared" si="1"/>
        <v>300</v>
      </c>
      <c r="I11" s="7">
        <f t="shared" si="2"/>
        <v>400</v>
      </c>
      <c r="J11" s="7" t="s">
        <v>630</v>
      </c>
    </row>
    <row r="12" spans="1:10">
      <c r="A12" s="28" t="s">
        <v>234</v>
      </c>
      <c r="B12" s="32" t="s">
        <v>233</v>
      </c>
      <c r="C12" s="7">
        <v>10</v>
      </c>
      <c r="D12" s="7">
        <v>5</v>
      </c>
      <c r="E12" s="7">
        <v>90</v>
      </c>
      <c r="F12" s="7">
        <v>120</v>
      </c>
      <c r="G12" s="50">
        <f t="shared" si="0"/>
        <v>25</v>
      </c>
      <c r="H12" s="7">
        <f t="shared" si="1"/>
        <v>900</v>
      </c>
      <c r="I12" s="7">
        <f t="shared" si="2"/>
        <v>1200</v>
      </c>
      <c r="J12" s="7" t="s">
        <v>630</v>
      </c>
    </row>
    <row r="13" spans="1:10">
      <c r="A13" s="28" t="s">
        <v>234</v>
      </c>
      <c r="B13" s="32" t="s">
        <v>261</v>
      </c>
      <c r="C13" s="7">
        <v>2</v>
      </c>
      <c r="D13" s="7">
        <v>0</v>
      </c>
      <c r="E13" s="7">
        <v>40</v>
      </c>
      <c r="F13" s="7">
        <v>60</v>
      </c>
      <c r="G13" s="50">
        <f t="shared" si="0"/>
        <v>33.333333333333343</v>
      </c>
      <c r="H13" s="7">
        <f t="shared" si="1"/>
        <v>80</v>
      </c>
      <c r="I13" s="7">
        <f t="shared" si="2"/>
        <v>120</v>
      </c>
      <c r="J13" s="7" t="s">
        <v>630</v>
      </c>
    </row>
    <row r="14" spans="1:10">
      <c r="A14" s="28" t="s">
        <v>234</v>
      </c>
      <c r="B14" s="32" t="s">
        <v>262</v>
      </c>
      <c r="C14" s="7">
        <v>2</v>
      </c>
      <c r="D14" s="7">
        <v>0</v>
      </c>
      <c r="E14" s="7">
        <v>90</v>
      </c>
      <c r="F14" s="7">
        <v>120</v>
      </c>
      <c r="G14" s="50">
        <f t="shared" si="0"/>
        <v>25</v>
      </c>
      <c r="H14" s="7">
        <f t="shared" si="1"/>
        <v>180</v>
      </c>
      <c r="I14" s="7">
        <f t="shared" si="2"/>
        <v>240</v>
      </c>
      <c r="J14" s="7" t="s">
        <v>630</v>
      </c>
    </row>
    <row r="15" spans="1:10">
      <c r="A15" s="28" t="s">
        <v>234</v>
      </c>
      <c r="B15" s="32" t="s">
        <v>263</v>
      </c>
      <c r="C15" s="7">
        <v>1</v>
      </c>
      <c r="D15" s="7">
        <v>5</v>
      </c>
      <c r="E15" s="7">
        <v>300</v>
      </c>
      <c r="F15" s="13">
        <v>400</v>
      </c>
      <c r="G15" s="50">
        <f t="shared" si="0"/>
        <v>25</v>
      </c>
      <c r="H15" s="7">
        <f t="shared" si="1"/>
        <v>300</v>
      </c>
      <c r="I15" s="7">
        <f t="shared" si="2"/>
        <v>400</v>
      </c>
      <c r="J15" s="7" t="s">
        <v>630</v>
      </c>
    </row>
    <row r="16" spans="1:10">
      <c r="A16" s="28" t="s">
        <v>234</v>
      </c>
      <c r="B16" s="32" t="s">
        <v>264</v>
      </c>
      <c r="C16" s="7">
        <v>5</v>
      </c>
      <c r="D16" s="7">
        <v>0</v>
      </c>
      <c r="E16" s="7">
        <v>90</v>
      </c>
      <c r="F16" s="7">
        <v>150</v>
      </c>
      <c r="G16" s="50">
        <f t="shared" si="0"/>
        <v>40</v>
      </c>
      <c r="H16" s="7">
        <f t="shared" si="1"/>
        <v>450</v>
      </c>
      <c r="I16" s="7">
        <f t="shared" si="2"/>
        <v>750</v>
      </c>
      <c r="J16" s="7" t="s">
        <v>630</v>
      </c>
    </row>
    <row r="17" spans="1:10">
      <c r="A17" s="28" t="s">
        <v>234</v>
      </c>
      <c r="B17" s="32" t="s">
        <v>265</v>
      </c>
      <c r="C17" s="7">
        <v>8</v>
      </c>
      <c r="D17" s="7">
        <v>5</v>
      </c>
      <c r="E17" s="7">
        <v>110</v>
      </c>
      <c r="F17" s="7">
        <v>160</v>
      </c>
      <c r="G17" s="50">
        <f t="shared" si="0"/>
        <v>31.25</v>
      </c>
      <c r="H17" s="7">
        <f t="shared" si="1"/>
        <v>880</v>
      </c>
      <c r="I17" s="7">
        <f t="shared" si="2"/>
        <v>1280</v>
      </c>
      <c r="J17" s="7" t="s">
        <v>630</v>
      </c>
    </row>
    <row r="18" spans="1:10">
      <c r="A18" s="28" t="s">
        <v>234</v>
      </c>
      <c r="B18" s="32" t="s">
        <v>266</v>
      </c>
      <c r="C18" s="7">
        <v>3</v>
      </c>
      <c r="D18" s="7">
        <v>5</v>
      </c>
      <c r="E18" s="7">
        <v>160</v>
      </c>
      <c r="F18" s="13">
        <v>230</v>
      </c>
      <c r="G18" s="50">
        <f t="shared" si="0"/>
        <v>30.434782608695656</v>
      </c>
      <c r="H18" s="7">
        <f t="shared" si="1"/>
        <v>480</v>
      </c>
      <c r="I18" s="7">
        <f t="shared" si="2"/>
        <v>690</v>
      </c>
      <c r="J18" s="7" t="s">
        <v>630</v>
      </c>
    </row>
    <row r="19" spans="1:10">
      <c r="A19" s="28" t="s">
        <v>234</v>
      </c>
      <c r="B19" s="32" t="s">
        <v>267</v>
      </c>
      <c r="C19" s="7">
        <v>1</v>
      </c>
      <c r="D19" s="7">
        <v>5</v>
      </c>
      <c r="E19" s="7">
        <v>220</v>
      </c>
      <c r="F19" s="13">
        <v>320</v>
      </c>
      <c r="G19" s="50">
        <f t="shared" si="0"/>
        <v>31.25</v>
      </c>
      <c r="H19" s="7">
        <f t="shared" si="1"/>
        <v>220</v>
      </c>
      <c r="I19" s="7">
        <f t="shared" si="2"/>
        <v>320</v>
      </c>
      <c r="J19" s="7" t="s">
        <v>630</v>
      </c>
    </row>
    <row r="20" spans="1:10">
      <c r="A20" s="28" t="s">
        <v>234</v>
      </c>
      <c r="B20" s="32" t="s">
        <v>276</v>
      </c>
      <c r="C20" s="7">
        <v>1</v>
      </c>
      <c r="D20" s="7">
        <v>5</v>
      </c>
      <c r="E20" s="7">
        <v>250</v>
      </c>
      <c r="F20" s="13">
        <v>350</v>
      </c>
      <c r="G20" s="50">
        <f t="shared" si="0"/>
        <v>28.571428571428569</v>
      </c>
      <c r="H20" s="7">
        <f t="shared" si="1"/>
        <v>250</v>
      </c>
      <c r="I20" s="7">
        <f t="shared" si="2"/>
        <v>350</v>
      </c>
      <c r="J20" s="7" t="s">
        <v>630</v>
      </c>
    </row>
    <row r="21" spans="1:10">
      <c r="A21" s="28" t="s">
        <v>234</v>
      </c>
      <c r="B21" s="32" t="s">
        <v>278</v>
      </c>
      <c r="C21" s="7">
        <v>1</v>
      </c>
      <c r="D21" s="7">
        <v>0</v>
      </c>
      <c r="E21" s="7">
        <v>250</v>
      </c>
      <c r="F21" s="13">
        <v>320</v>
      </c>
      <c r="G21" s="50">
        <f t="shared" si="0"/>
        <v>21.875</v>
      </c>
      <c r="H21" s="7">
        <f t="shared" si="1"/>
        <v>250</v>
      </c>
      <c r="I21" s="7">
        <f t="shared" si="2"/>
        <v>320</v>
      </c>
      <c r="J21" s="7" t="s">
        <v>630</v>
      </c>
    </row>
    <row r="22" spans="1:10">
      <c r="A22" s="28" t="s">
        <v>234</v>
      </c>
      <c r="B22" s="32" t="s">
        <v>279</v>
      </c>
      <c r="C22" s="7">
        <v>1</v>
      </c>
      <c r="D22" s="7">
        <v>5</v>
      </c>
      <c r="E22" s="7">
        <v>200</v>
      </c>
      <c r="F22" s="13">
        <v>300</v>
      </c>
      <c r="G22" s="50">
        <f t="shared" si="0"/>
        <v>33.333333333333343</v>
      </c>
      <c r="H22" s="7">
        <f t="shared" si="1"/>
        <v>200</v>
      </c>
      <c r="I22" s="7">
        <f t="shared" si="2"/>
        <v>300</v>
      </c>
      <c r="J22" s="7" t="s">
        <v>630</v>
      </c>
    </row>
    <row r="23" spans="1:10">
      <c r="A23" s="28" t="s">
        <v>234</v>
      </c>
      <c r="B23" s="32" t="s">
        <v>280</v>
      </c>
      <c r="C23" s="7">
        <v>1</v>
      </c>
      <c r="D23" s="7">
        <v>0</v>
      </c>
      <c r="E23" s="7">
        <v>90</v>
      </c>
      <c r="F23" s="7">
        <v>120</v>
      </c>
      <c r="G23" s="50">
        <f t="shared" si="0"/>
        <v>25</v>
      </c>
      <c r="H23" s="7">
        <f t="shared" si="1"/>
        <v>90</v>
      </c>
      <c r="I23" s="7">
        <f t="shared" si="2"/>
        <v>120</v>
      </c>
      <c r="J23" s="7" t="s">
        <v>630</v>
      </c>
    </row>
    <row r="24" spans="1:10">
      <c r="A24" s="28" t="s">
        <v>234</v>
      </c>
      <c r="B24" s="32" t="s">
        <v>281</v>
      </c>
      <c r="C24" s="7">
        <v>2</v>
      </c>
      <c r="D24" s="7">
        <v>5</v>
      </c>
      <c r="E24" s="7">
        <v>950</v>
      </c>
      <c r="F24" s="13">
        <v>1250</v>
      </c>
      <c r="G24" s="50">
        <f t="shared" si="0"/>
        <v>24</v>
      </c>
      <c r="H24" s="7">
        <f t="shared" si="1"/>
        <v>1900</v>
      </c>
      <c r="I24" s="7">
        <f t="shared" si="2"/>
        <v>2500</v>
      </c>
      <c r="J24" s="7" t="s">
        <v>630</v>
      </c>
    </row>
    <row r="25" spans="1:10">
      <c r="A25" s="28" t="s">
        <v>234</v>
      </c>
      <c r="B25" s="32" t="s">
        <v>637</v>
      </c>
      <c r="C25" s="7">
        <v>4</v>
      </c>
      <c r="D25" s="7">
        <v>5</v>
      </c>
      <c r="E25" s="7">
        <v>220</v>
      </c>
      <c r="F25" s="7">
        <v>300</v>
      </c>
      <c r="G25" s="50">
        <f t="shared" si="0"/>
        <v>26.666666666666671</v>
      </c>
      <c r="H25" s="7">
        <f t="shared" si="1"/>
        <v>880</v>
      </c>
      <c r="I25" s="7">
        <f t="shared" si="2"/>
        <v>1200</v>
      </c>
      <c r="J25" s="7">
        <v>594</v>
      </c>
    </row>
    <row r="26" spans="1:10">
      <c r="A26" s="28" t="s">
        <v>234</v>
      </c>
      <c r="B26" s="32" t="s">
        <v>638</v>
      </c>
      <c r="C26" s="7">
        <v>0</v>
      </c>
      <c r="D26" s="7">
        <v>5</v>
      </c>
      <c r="E26" s="7">
        <v>220</v>
      </c>
      <c r="F26" s="7">
        <v>280</v>
      </c>
      <c r="G26" s="50">
        <f t="shared" si="0"/>
        <v>21.428571428571431</v>
      </c>
      <c r="H26" s="7">
        <f t="shared" si="1"/>
        <v>0</v>
      </c>
      <c r="I26" s="7">
        <f t="shared" si="2"/>
        <v>0</v>
      </c>
      <c r="J26" s="7" t="s">
        <v>630</v>
      </c>
    </row>
    <row r="27" spans="1:10">
      <c r="A27" s="28" t="s">
        <v>234</v>
      </c>
      <c r="B27" s="32" t="s">
        <v>282</v>
      </c>
      <c r="C27" s="7">
        <v>10</v>
      </c>
      <c r="D27" s="7">
        <v>0</v>
      </c>
      <c r="E27" s="7">
        <v>90</v>
      </c>
      <c r="F27" s="7">
        <v>120</v>
      </c>
      <c r="G27" s="50">
        <f t="shared" si="0"/>
        <v>25</v>
      </c>
      <c r="H27" s="7">
        <f t="shared" si="1"/>
        <v>900</v>
      </c>
      <c r="I27" s="7">
        <f t="shared" si="2"/>
        <v>1200</v>
      </c>
      <c r="J27" s="7" t="s">
        <v>630</v>
      </c>
    </row>
    <row r="28" spans="1:10">
      <c r="A28" s="28" t="s">
        <v>234</v>
      </c>
      <c r="B28" s="32" t="s">
        <v>283</v>
      </c>
      <c r="C28" s="7">
        <v>4</v>
      </c>
      <c r="D28" s="7">
        <v>0</v>
      </c>
      <c r="E28" s="7">
        <v>40</v>
      </c>
      <c r="F28" s="7">
        <v>60</v>
      </c>
      <c r="G28" s="50">
        <f t="shared" si="0"/>
        <v>33.333333333333343</v>
      </c>
      <c r="H28" s="7">
        <f t="shared" si="1"/>
        <v>160</v>
      </c>
      <c r="I28" s="7">
        <f t="shared" si="2"/>
        <v>240</v>
      </c>
      <c r="J28" s="7" t="s">
        <v>630</v>
      </c>
    </row>
    <row r="29" spans="1:10">
      <c r="A29" s="28" t="s">
        <v>234</v>
      </c>
      <c r="B29" s="32" t="s">
        <v>255</v>
      </c>
      <c r="C29" s="7">
        <v>30</v>
      </c>
      <c r="D29" s="7">
        <v>50</v>
      </c>
      <c r="E29" s="7">
        <v>30</v>
      </c>
      <c r="F29" s="7">
        <v>40</v>
      </c>
      <c r="G29" s="50">
        <f t="shared" si="0"/>
        <v>25</v>
      </c>
      <c r="H29" s="7">
        <f t="shared" si="1"/>
        <v>900</v>
      </c>
      <c r="I29" s="7">
        <f t="shared" si="2"/>
        <v>1200</v>
      </c>
      <c r="J29" s="7" t="s">
        <v>630</v>
      </c>
    </row>
    <row r="30" spans="1:10">
      <c r="A30" s="28" t="s">
        <v>234</v>
      </c>
      <c r="B30" s="32" t="s">
        <v>258</v>
      </c>
      <c r="C30" s="7">
        <v>5</v>
      </c>
      <c r="D30" s="7">
        <v>5</v>
      </c>
      <c r="E30" s="7">
        <v>90</v>
      </c>
      <c r="F30" s="7">
        <v>160</v>
      </c>
      <c r="G30" s="50">
        <f t="shared" si="0"/>
        <v>43.75</v>
      </c>
      <c r="H30" s="7">
        <f t="shared" si="1"/>
        <v>450</v>
      </c>
      <c r="I30" s="7">
        <f t="shared" si="2"/>
        <v>800</v>
      </c>
      <c r="J30" s="7" t="s">
        <v>630</v>
      </c>
    </row>
    <row r="31" spans="1:10">
      <c r="A31" s="28" t="s">
        <v>234</v>
      </c>
      <c r="B31" s="32" t="s">
        <v>284</v>
      </c>
      <c r="C31" s="7">
        <v>1</v>
      </c>
      <c r="D31" s="7">
        <v>5</v>
      </c>
      <c r="E31" s="7">
        <v>90</v>
      </c>
      <c r="F31" s="7">
        <v>120</v>
      </c>
      <c r="G31" s="50">
        <f t="shared" si="0"/>
        <v>25</v>
      </c>
      <c r="H31" s="7">
        <f t="shared" si="1"/>
        <v>90</v>
      </c>
      <c r="I31" s="7">
        <f t="shared" si="2"/>
        <v>120</v>
      </c>
      <c r="J31" s="7" t="s">
        <v>630</v>
      </c>
    </row>
    <row r="32" spans="1:10">
      <c r="A32" s="28" t="s">
        <v>234</v>
      </c>
      <c r="B32" s="33" t="s">
        <v>310</v>
      </c>
      <c r="C32" s="7">
        <v>6</v>
      </c>
      <c r="D32" s="7">
        <v>10</v>
      </c>
      <c r="E32" s="7">
        <v>100</v>
      </c>
      <c r="F32" s="7">
        <v>130</v>
      </c>
      <c r="G32" s="50">
        <f t="shared" si="0"/>
        <v>23.076923076923066</v>
      </c>
      <c r="H32" s="7">
        <f t="shared" si="1"/>
        <v>600</v>
      </c>
      <c r="I32" s="7">
        <f t="shared" si="2"/>
        <v>780</v>
      </c>
      <c r="J32" s="7" t="s">
        <v>630</v>
      </c>
    </row>
    <row r="33" spans="1:10">
      <c r="A33" s="28" t="s">
        <v>234</v>
      </c>
      <c r="B33" s="33" t="s">
        <v>313</v>
      </c>
      <c r="C33" s="7">
        <v>1</v>
      </c>
      <c r="D33" s="7">
        <v>0</v>
      </c>
      <c r="E33" s="7">
        <v>850</v>
      </c>
      <c r="F33" s="7">
        <v>1350</v>
      </c>
      <c r="G33" s="50">
        <f t="shared" si="0"/>
        <v>37.037037037037038</v>
      </c>
      <c r="H33" s="7">
        <f t="shared" si="1"/>
        <v>850</v>
      </c>
      <c r="I33" s="7">
        <f t="shared" si="2"/>
        <v>1350</v>
      </c>
      <c r="J33" s="7" t="s">
        <v>630</v>
      </c>
    </row>
    <row r="34" spans="1:10">
      <c r="A34" s="28" t="s">
        <v>234</v>
      </c>
      <c r="B34" s="33" t="s">
        <v>314</v>
      </c>
      <c r="C34" s="7">
        <v>2</v>
      </c>
      <c r="D34" s="7">
        <v>5</v>
      </c>
      <c r="E34" s="7">
        <v>725</v>
      </c>
      <c r="F34" s="7">
        <v>1050</v>
      </c>
      <c r="G34" s="50">
        <f t="shared" si="0"/>
        <v>30.952380952380949</v>
      </c>
      <c r="H34" s="7">
        <f t="shared" si="1"/>
        <v>1450</v>
      </c>
      <c r="I34" s="7">
        <f t="shared" si="2"/>
        <v>2100</v>
      </c>
      <c r="J34" s="7">
        <v>644</v>
      </c>
    </row>
    <row r="35" spans="1:10">
      <c r="A35" s="28" t="s">
        <v>234</v>
      </c>
      <c r="B35" s="33" t="s">
        <v>315</v>
      </c>
      <c r="C35" s="7">
        <v>1</v>
      </c>
      <c r="D35" s="7">
        <v>0</v>
      </c>
      <c r="E35" s="7">
        <v>120</v>
      </c>
      <c r="F35" s="7">
        <v>180</v>
      </c>
      <c r="G35" s="50">
        <f t="shared" si="0"/>
        <v>33.333333333333343</v>
      </c>
      <c r="H35" s="7">
        <f t="shared" si="1"/>
        <v>120</v>
      </c>
      <c r="I35" s="7">
        <f t="shared" si="2"/>
        <v>180</v>
      </c>
      <c r="J35" s="7" t="s">
        <v>630</v>
      </c>
    </row>
    <row r="36" spans="1:10">
      <c r="A36" s="28" t="s">
        <v>234</v>
      </c>
      <c r="B36" s="33" t="s">
        <v>316</v>
      </c>
      <c r="C36" s="7">
        <v>0</v>
      </c>
      <c r="D36" s="7">
        <v>0</v>
      </c>
      <c r="E36" s="7">
        <v>160</v>
      </c>
      <c r="F36" s="7">
        <v>220</v>
      </c>
      <c r="G36" s="50">
        <f t="shared" si="0"/>
        <v>27.272727272727266</v>
      </c>
      <c r="H36" s="7">
        <f t="shared" si="1"/>
        <v>0</v>
      </c>
      <c r="I36" s="7">
        <f t="shared" si="2"/>
        <v>0</v>
      </c>
      <c r="J36" s="7" t="s">
        <v>630</v>
      </c>
    </row>
    <row r="37" spans="1:10">
      <c r="A37" s="28" t="s">
        <v>234</v>
      </c>
      <c r="B37" s="33" t="s">
        <v>317</v>
      </c>
      <c r="C37" s="7">
        <v>1</v>
      </c>
      <c r="D37" s="7">
        <v>0</v>
      </c>
      <c r="E37" s="7">
        <v>180</v>
      </c>
      <c r="F37" s="7">
        <v>250</v>
      </c>
      <c r="G37" s="50">
        <f t="shared" si="0"/>
        <v>28</v>
      </c>
      <c r="H37" s="7">
        <f t="shared" si="1"/>
        <v>180</v>
      </c>
      <c r="I37" s="7">
        <f t="shared" si="2"/>
        <v>250</v>
      </c>
      <c r="J37" s="7" t="s">
        <v>630</v>
      </c>
    </row>
    <row r="38" spans="1:10">
      <c r="A38" s="28" t="s">
        <v>234</v>
      </c>
      <c r="B38" s="33" t="s">
        <v>319</v>
      </c>
      <c r="C38" s="7">
        <v>4</v>
      </c>
      <c r="D38" s="7">
        <v>5</v>
      </c>
      <c r="E38" s="7">
        <v>150</v>
      </c>
      <c r="F38" s="7">
        <v>220</v>
      </c>
      <c r="G38" s="50">
        <f t="shared" si="0"/>
        <v>31.818181818181827</v>
      </c>
      <c r="H38" s="7">
        <f t="shared" si="1"/>
        <v>600</v>
      </c>
      <c r="I38" s="7">
        <f t="shared" si="2"/>
        <v>880</v>
      </c>
      <c r="J38" s="7">
        <v>644</v>
      </c>
    </row>
    <row r="39" spans="1:10">
      <c r="A39" s="28" t="s">
        <v>234</v>
      </c>
      <c r="B39" s="33" t="s">
        <v>320</v>
      </c>
      <c r="C39" s="7">
        <v>3</v>
      </c>
      <c r="D39" s="7">
        <v>0</v>
      </c>
      <c r="E39" s="7">
        <v>450</v>
      </c>
      <c r="F39" s="7">
        <v>650</v>
      </c>
      <c r="G39" s="50">
        <f t="shared" si="0"/>
        <v>30.769230769230774</v>
      </c>
      <c r="H39" s="7">
        <f t="shared" si="1"/>
        <v>1350</v>
      </c>
      <c r="I39" s="7">
        <f t="shared" si="2"/>
        <v>1950</v>
      </c>
      <c r="J39" s="7" t="s">
        <v>630</v>
      </c>
    </row>
    <row r="40" spans="1:10">
      <c r="A40" s="28" t="s">
        <v>234</v>
      </c>
      <c r="B40" s="33" t="s">
        <v>321</v>
      </c>
      <c r="C40" s="7">
        <v>3</v>
      </c>
      <c r="D40" s="7">
        <v>0</v>
      </c>
      <c r="E40" s="7">
        <v>850</v>
      </c>
      <c r="F40" s="7">
        <v>1100</v>
      </c>
      <c r="G40" s="50">
        <f t="shared" si="0"/>
        <v>22.727272727272734</v>
      </c>
      <c r="H40" s="7">
        <f t="shared" si="1"/>
        <v>2550</v>
      </c>
      <c r="I40" s="7">
        <f t="shared" si="2"/>
        <v>3300</v>
      </c>
      <c r="J40" s="7" t="s">
        <v>630</v>
      </c>
    </row>
    <row r="41" spans="1:10">
      <c r="A41" s="28" t="s">
        <v>234</v>
      </c>
      <c r="B41" s="32" t="s">
        <v>322</v>
      </c>
      <c r="C41" s="7">
        <v>5</v>
      </c>
      <c r="D41" s="7">
        <v>0</v>
      </c>
      <c r="E41" s="7">
        <v>950</v>
      </c>
      <c r="F41" s="7">
        <v>1350</v>
      </c>
      <c r="G41" s="50">
        <f t="shared" si="0"/>
        <v>29.629629629629633</v>
      </c>
      <c r="H41" s="7">
        <f t="shared" si="1"/>
        <v>4750</v>
      </c>
      <c r="I41" s="7">
        <f t="shared" si="2"/>
        <v>6750</v>
      </c>
      <c r="J41" s="7" t="s">
        <v>630</v>
      </c>
    </row>
    <row r="42" spans="1:10">
      <c r="A42" s="28" t="s">
        <v>234</v>
      </c>
      <c r="B42" s="32" t="s">
        <v>323</v>
      </c>
      <c r="C42" s="7">
        <v>0</v>
      </c>
      <c r="D42" s="7">
        <v>2</v>
      </c>
      <c r="E42" s="7">
        <v>2900</v>
      </c>
      <c r="F42" s="13">
        <v>3600</v>
      </c>
      <c r="G42" s="50">
        <f t="shared" si="0"/>
        <v>19.444444444444443</v>
      </c>
      <c r="H42" s="7">
        <f t="shared" si="1"/>
        <v>0</v>
      </c>
      <c r="I42" s="7">
        <f t="shared" si="2"/>
        <v>0</v>
      </c>
      <c r="J42" s="7" t="s">
        <v>630</v>
      </c>
    </row>
    <row r="43" spans="1:10">
      <c r="A43" s="28" t="s">
        <v>234</v>
      </c>
      <c r="B43" s="32" t="s">
        <v>324</v>
      </c>
      <c r="C43" s="7">
        <v>0</v>
      </c>
      <c r="D43" s="7">
        <v>2</v>
      </c>
      <c r="E43" s="7">
        <v>900</v>
      </c>
      <c r="F43" s="7">
        <v>1200</v>
      </c>
      <c r="G43" s="50">
        <f t="shared" si="0"/>
        <v>25</v>
      </c>
      <c r="H43" s="7">
        <f t="shared" si="1"/>
        <v>0</v>
      </c>
      <c r="I43" s="7">
        <f t="shared" si="2"/>
        <v>0</v>
      </c>
      <c r="J43" s="7" t="s">
        <v>630</v>
      </c>
    </row>
    <row r="44" spans="1:10">
      <c r="A44" s="28" t="s">
        <v>234</v>
      </c>
      <c r="B44" s="32" t="s">
        <v>325</v>
      </c>
      <c r="C44" s="7">
        <v>1</v>
      </c>
      <c r="D44" s="7">
        <v>0</v>
      </c>
      <c r="E44" s="7">
        <v>90</v>
      </c>
      <c r="F44" s="7">
        <v>120</v>
      </c>
      <c r="G44" s="50">
        <f t="shared" si="0"/>
        <v>25</v>
      </c>
      <c r="H44" s="7">
        <f t="shared" si="1"/>
        <v>90</v>
      </c>
      <c r="I44" s="7">
        <f t="shared" si="2"/>
        <v>120</v>
      </c>
      <c r="J44" s="7" t="s">
        <v>630</v>
      </c>
    </row>
    <row r="45" spans="1:10">
      <c r="A45" s="28" t="s">
        <v>234</v>
      </c>
      <c r="B45" s="32" t="s">
        <v>326</v>
      </c>
      <c r="C45" s="7">
        <v>1</v>
      </c>
      <c r="D45" s="7">
        <v>0</v>
      </c>
      <c r="E45" s="7">
        <v>90</v>
      </c>
      <c r="F45" s="7">
        <v>120</v>
      </c>
      <c r="G45" s="50">
        <f t="shared" si="0"/>
        <v>25</v>
      </c>
      <c r="H45" s="7">
        <f t="shared" si="1"/>
        <v>90</v>
      </c>
      <c r="I45" s="7">
        <f t="shared" si="2"/>
        <v>120</v>
      </c>
      <c r="J45" s="7" t="s">
        <v>630</v>
      </c>
    </row>
    <row r="46" spans="1:10">
      <c r="A46" s="28" t="s">
        <v>234</v>
      </c>
      <c r="B46" s="32" t="s">
        <v>327</v>
      </c>
      <c r="C46" s="7">
        <v>1</v>
      </c>
      <c r="D46" s="7">
        <v>0</v>
      </c>
      <c r="E46" s="7">
        <v>90</v>
      </c>
      <c r="F46" s="7">
        <v>120</v>
      </c>
      <c r="G46" s="50">
        <f t="shared" si="0"/>
        <v>25</v>
      </c>
      <c r="H46" s="7">
        <f t="shared" si="1"/>
        <v>90</v>
      </c>
      <c r="I46" s="7">
        <f t="shared" si="2"/>
        <v>120</v>
      </c>
      <c r="J46" s="7" t="s">
        <v>630</v>
      </c>
    </row>
    <row r="47" spans="1:10">
      <c r="A47" s="28" t="s">
        <v>234</v>
      </c>
      <c r="B47" s="32" t="s">
        <v>328</v>
      </c>
      <c r="C47" s="7">
        <v>1</v>
      </c>
      <c r="D47" s="7">
        <v>0</v>
      </c>
      <c r="E47" s="7">
        <v>90</v>
      </c>
      <c r="F47" s="7">
        <v>120</v>
      </c>
      <c r="G47" s="50">
        <f t="shared" si="0"/>
        <v>25</v>
      </c>
      <c r="H47" s="7">
        <f t="shared" si="1"/>
        <v>90</v>
      </c>
      <c r="I47" s="7">
        <f t="shared" si="2"/>
        <v>120</v>
      </c>
      <c r="J47" s="7" t="s">
        <v>630</v>
      </c>
    </row>
    <row r="48" spans="1:10">
      <c r="A48" s="28" t="s">
        <v>234</v>
      </c>
      <c r="B48" s="33" t="s">
        <v>476</v>
      </c>
      <c r="C48" s="7">
        <v>2</v>
      </c>
      <c r="D48" s="7">
        <v>5</v>
      </c>
      <c r="E48" s="7">
        <v>250</v>
      </c>
      <c r="F48" s="7">
        <v>350</v>
      </c>
      <c r="G48" s="50">
        <f t="shared" si="0"/>
        <v>28.571428571428569</v>
      </c>
      <c r="H48" s="7">
        <f t="shared" si="1"/>
        <v>500</v>
      </c>
      <c r="I48" s="7">
        <f t="shared" si="2"/>
        <v>700</v>
      </c>
      <c r="J48" s="7" t="s">
        <v>630</v>
      </c>
    </row>
    <row r="49" spans="1:10">
      <c r="A49" s="28" t="s">
        <v>234</v>
      </c>
      <c r="B49" s="33" t="s">
        <v>477</v>
      </c>
      <c r="C49" s="7">
        <v>1</v>
      </c>
      <c r="D49" s="7">
        <v>0</v>
      </c>
      <c r="E49" s="7">
        <v>100</v>
      </c>
      <c r="F49" s="7">
        <v>150</v>
      </c>
      <c r="G49" s="50">
        <f t="shared" si="0"/>
        <v>33.333333333333343</v>
      </c>
      <c r="H49" s="7">
        <f t="shared" si="1"/>
        <v>100</v>
      </c>
      <c r="I49" s="7">
        <f t="shared" si="2"/>
        <v>150</v>
      </c>
      <c r="J49" s="7" t="s">
        <v>630</v>
      </c>
    </row>
    <row r="50" spans="1:10">
      <c r="A50" s="28" t="s">
        <v>235</v>
      </c>
      <c r="B50" s="32" t="s">
        <v>236</v>
      </c>
      <c r="C50" s="7">
        <v>1</v>
      </c>
      <c r="D50" s="7">
        <v>5</v>
      </c>
      <c r="E50" s="7">
        <v>90</v>
      </c>
      <c r="F50" s="7">
        <v>220</v>
      </c>
      <c r="G50" s="50">
        <f t="shared" si="0"/>
        <v>59.090909090909086</v>
      </c>
      <c r="H50" s="7">
        <f t="shared" si="1"/>
        <v>90</v>
      </c>
      <c r="I50" s="7">
        <f t="shared" si="2"/>
        <v>220</v>
      </c>
      <c r="J50" s="7" t="s">
        <v>630</v>
      </c>
    </row>
    <row r="51" spans="1:10">
      <c r="A51" s="28" t="s">
        <v>235</v>
      </c>
      <c r="B51" s="32" t="s">
        <v>241</v>
      </c>
      <c r="C51" s="7">
        <v>6</v>
      </c>
      <c r="D51" s="7">
        <v>5</v>
      </c>
      <c r="E51" s="7">
        <v>120</v>
      </c>
      <c r="F51" s="7">
        <v>180</v>
      </c>
      <c r="G51" s="50">
        <f t="shared" si="0"/>
        <v>33.333333333333343</v>
      </c>
      <c r="H51" s="7">
        <f t="shared" si="1"/>
        <v>720</v>
      </c>
      <c r="I51" s="7">
        <f t="shared" si="2"/>
        <v>1080</v>
      </c>
      <c r="J51" s="7" t="s">
        <v>630</v>
      </c>
    </row>
    <row r="52" spans="1:10">
      <c r="A52" s="28" t="s">
        <v>235</v>
      </c>
      <c r="B52" s="32" t="s">
        <v>243</v>
      </c>
      <c r="C52" s="7">
        <v>10</v>
      </c>
      <c r="D52" s="7">
        <v>5</v>
      </c>
      <c r="E52" s="7">
        <v>90</v>
      </c>
      <c r="F52" s="7">
        <v>150</v>
      </c>
      <c r="G52" s="50">
        <f t="shared" si="0"/>
        <v>40</v>
      </c>
      <c r="H52" s="7">
        <f t="shared" si="1"/>
        <v>900</v>
      </c>
      <c r="I52" s="7">
        <f t="shared" si="2"/>
        <v>1500</v>
      </c>
      <c r="J52" s="7" t="s">
        <v>630</v>
      </c>
    </row>
    <row r="53" spans="1:10">
      <c r="A53" s="28" t="s">
        <v>235</v>
      </c>
      <c r="B53" s="32" t="s">
        <v>244</v>
      </c>
      <c r="C53" s="7">
        <v>2</v>
      </c>
      <c r="D53" s="7">
        <v>0</v>
      </c>
      <c r="E53" s="7">
        <v>300</v>
      </c>
      <c r="F53" s="7">
        <v>375</v>
      </c>
      <c r="G53" s="50">
        <f t="shared" si="0"/>
        <v>20</v>
      </c>
      <c r="H53" s="7">
        <f t="shared" si="1"/>
        <v>600</v>
      </c>
      <c r="I53" s="7">
        <f t="shared" si="2"/>
        <v>750</v>
      </c>
      <c r="J53" s="7" t="s">
        <v>630</v>
      </c>
    </row>
    <row r="54" spans="1:10">
      <c r="A54" s="28" t="s">
        <v>235</v>
      </c>
      <c r="B54" s="32" t="s">
        <v>245</v>
      </c>
      <c r="C54" s="7">
        <v>0</v>
      </c>
      <c r="D54" s="7">
        <v>5</v>
      </c>
      <c r="E54" s="7">
        <v>180</v>
      </c>
      <c r="F54" s="7">
        <v>250</v>
      </c>
      <c r="G54" s="50">
        <f t="shared" si="0"/>
        <v>28</v>
      </c>
      <c r="H54" s="7">
        <f t="shared" si="1"/>
        <v>0</v>
      </c>
      <c r="I54" s="7">
        <f t="shared" si="2"/>
        <v>0</v>
      </c>
      <c r="J54" s="7" t="s">
        <v>630</v>
      </c>
    </row>
    <row r="55" spans="1:10">
      <c r="A55" s="28" t="s">
        <v>235</v>
      </c>
      <c r="B55" s="32" t="s">
        <v>247</v>
      </c>
      <c r="C55" s="7">
        <v>5</v>
      </c>
      <c r="D55" s="7">
        <v>5</v>
      </c>
      <c r="E55" s="7">
        <v>180</v>
      </c>
      <c r="F55" s="7">
        <v>250</v>
      </c>
      <c r="G55" s="50">
        <f t="shared" si="0"/>
        <v>28</v>
      </c>
      <c r="H55" s="7">
        <f t="shared" si="1"/>
        <v>900</v>
      </c>
      <c r="I55" s="7">
        <f t="shared" si="2"/>
        <v>1250</v>
      </c>
      <c r="J55" s="7" t="s">
        <v>630</v>
      </c>
    </row>
    <row r="56" spans="1:10">
      <c r="A56" s="28" t="s">
        <v>235</v>
      </c>
      <c r="B56" s="32" t="s">
        <v>246</v>
      </c>
      <c r="C56" s="7">
        <v>1</v>
      </c>
      <c r="D56" s="7">
        <v>5</v>
      </c>
      <c r="E56" s="7">
        <v>180</v>
      </c>
      <c r="F56" s="7">
        <v>250</v>
      </c>
      <c r="G56" s="50">
        <f t="shared" si="0"/>
        <v>28</v>
      </c>
      <c r="H56" s="7">
        <f t="shared" si="1"/>
        <v>180</v>
      </c>
      <c r="I56" s="7">
        <f t="shared" si="2"/>
        <v>250</v>
      </c>
      <c r="J56" s="7" t="s">
        <v>630</v>
      </c>
    </row>
    <row r="57" spans="1:10">
      <c r="A57" s="28" t="s">
        <v>235</v>
      </c>
      <c r="B57" s="32" t="s">
        <v>249</v>
      </c>
      <c r="C57" s="7">
        <v>0</v>
      </c>
      <c r="D57" s="7">
        <v>5</v>
      </c>
      <c r="E57" s="7">
        <v>180</v>
      </c>
      <c r="F57" s="7">
        <v>250</v>
      </c>
      <c r="G57" s="50">
        <f t="shared" si="0"/>
        <v>28</v>
      </c>
      <c r="H57" s="7">
        <f t="shared" si="1"/>
        <v>0</v>
      </c>
      <c r="I57" s="7">
        <f t="shared" si="2"/>
        <v>0</v>
      </c>
      <c r="J57" s="7" t="s">
        <v>630</v>
      </c>
    </row>
    <row r="58" spans="1:10">
      <c r="A58" s="28" t="s">
        <v>235</v>
      </c>
      <c r="B58" s="32" t="s">
        <v>251</v>
      </c>
      <c r="C58" s="7">
        <v>0</v>
      </c>
      <c r="D58" s="7">
        <v>5</v>
      </c>
      <c r="E58" s="7">
        <v>180</v>
      </c>
      <c r="F58" s="7">
        <v>250</v>
      </c>
      <c r="G58" s="50">
        <f t="shared" si="0"/>
        <v>28</v>
      </c>
      <c r="H58" s="7">
        <f t="shared" si="1"/>
        <v>0</v>
      </c>
      <c r="I58" s="7">
        <f t="shared" si="2"/>
        <v>0</v>
      </c>
      <c r="J58" s="7" t="s">
        <v>630</v>
      </c>
    </row>
    <row r="59" spans="1:10">
      <c r="A59" s="28" t="s">
        <v>235</v>
      </c>
      <c r="B59" s="32" t="s">
        <v>269</v>
      </c>
      <c r="C59" s="7">
        <v>0</v>
      </c>
      <c r="D59" s="7">
        <v>5</v>
      </c>
      <c r="E59" s="7">
        <v>200</v>
      </c>
      <c r="F59" s="7">
        <v>300</v>
      </c>
      <c r="G59" s="50">
        <f t="shared" si="0"/>
        <v>33.333333333333343</v>
      </c>
      <c r="H59" s="7">
        <f t="shared" si="1"/>
        <v>0</v>
      </c>
      <c r="I59" s="7">
        <f t="shared" si="2"/>
        <v>0</v>
      </c>
      <c r="J59" s="7" t="s">
        <v>630</v>
      </c>
    </row>
    <row r="60" spans="1:10">
      <c r="A60" s="28" t="s">
        <v>235</v>
      </c>
      <c r="B60" s="32" t="s">
        <v>252</v>
      </c>
      <c r="C60" s="7">
        <v>1</v>
      </c>
      <c r="D60" s="7">
        <v>5</v>
      </c>
      <c r="E60" s="7">
        <v>200</v>
      </c>
      <c r="F60" s="7">
        <v>350</v>
      </c>
      <c r="G60" s="50">
        <f t="shared" si="0"/>
        <v>42.857142857142861</v>
      </c>
      <c r="H60" s="7">
        <f t="shared" si="1"/>
        <v>200</v>
      </c>
      <c r="I60" s="7">
        <f t="shared" si="2"/>
        <v>350</v>
      </c>
      <c r="J60" s="7" t="s">
        <v>630</v>
      </c>
    </row>
    <row r="61" spans="1:10">
      <c r="A61" s="28" t="s">
        <v>235</v>
      </c>
      <c r="B61" s="32" t="s">
        <v>248</v>
      </c>
      <c r="C61" s="7">
        <v>1</v>
      </c>
      <c r="D61" s="7">
        <v>5</v>
      </c>
      <c r="E61" s="7">
        <v>180</v>
      </c>
      <c r="F61" s="7">
        <v>250</v>
      </c>
      <c r="G61" s="50">
        <f t="shared" si="0"/>
        <v>28</v>
      </c>
      <c r="H61" s="7">
        <f t="shared" si="1"/>
        <v>180</v>
      </c>
      <c r="I61" s="7">
        <f t="shared" si="2"/>
        <v>250</v>
      </c>
      <c r="J61" s="7" t="s">
        <v>630</v>
      </c>
    </row>
    <row r="62" spans="1:10">
      <c r="A62" s="28" t="s">
        <v>235</v>
      </c>
      <c r="B62" s="32" t="s">
        <v>256</v>
      </c>
      <c r="C62" s="7">
        <v>2</v>
      </c>
      <c r="D62" s="7">
        <v>5</v>
      </c>
      <c r="E62" s="7">
        <v>250</v>
      </c>
      <c r="F62" s="7">
        <v>380</v>
      </c>
      <c r="G62" s="50">
        <f t="shared" si="0"/>
        <v>34.210526315789465</v>
      </c>
      <c r="H62" s="7">
        <f t="shared" si="1"/>
        <v>500</v>
      </c>
      <c r="I62" s="7">
        <f t="shared" si="2"/>
        <v>760</v>
      </c>
      <c r="J62" s="7" t="s">
        <v>630</v>
      </c>
    </row>
    <row r="63" spans="1:10">
      <c r="A63" s="28" t="s">
        <v>235</v>
      </c>
      <c r="B63" s="32" t="s">
        <v>257</v>
      </c>
      <c r="C63" s="7">
        <v>2</v>
      </c>
      <c r="D63" s="7">
        <v>5</v>
      </c>
      <c r="E63" s="7">
        <v>150</v>
      </c>
      <c r="F63" s="7">
        <v>250</v>
      </c>
      <c r="G63" s="50">
        <f t="shared" si="0"/>
        <v>40</v>
      </c>
      <c r="H63" s="7">
        <f t="shared" si="1"/>
        <v>300</v>
      </c>
      <c r="I63" s="7">
        <f t="shared" si="2"/>
        <v>500</v>
      </c>
      <c r="J63" s="7" t="s">
        <v>630</v>
      </c>
    </row>
    <row r="64" spans="1:10">
      <c r="A64" s="28" t="s">
        <v>235</v>
      </c>
      <c r="B64" s="32" t="s">
        <v>258</v>
      </c>
      <c r="C64" s="7">
        <v>1</v>
      </c>
      <c r="D64" s="7">
        <v>5</v>
      </c>
      <c r="E64" s="7">
        <v>40</v>
      </c>
      <c r="F64" s="7">
        <v>60</v>
      </c>
      <c r="G64" s="50">
        <f t="shared" si="0"/>
        <v>33.333333333333343</v>
      </c>
      <c r="H64" s="7">
        <f t="shared" si="1"/>
        <v>40</v>
      </c>
      <c r="I64" s="7">
        <f t="shared" si="2"/>
        <v>60</v>
      </c>
      <c r="J64" s="7" t="s">
        <v>630</v>
      </c>
    </row>
    <row r="65" spans="1:10">
      <c r="A65" s="28" t="s">
        <v>235</v>
      </c>
      <c r="B65" s="32" t="s">
        <v>259</v>
      </c>
      <c r="C65" s="7">
        <v>6</v>
      </c>
      <c r="D65" s="7">
        <v>5</v>
      </c>
      <c r="E65" s="7">
        <v>160</v>
      </c>
      <c r="F65" s="7">
        <v>220</v>
      </c>
      <c r="G65" s="50">
        <f t="shared" si="0"/>
        <v>27.272727272727266</v>
      </c>
      <c r="H65" s="7">
        <f t="shared" si="1"/>
        <v>960</v>
      </c>
      <c r="I65" s="7">
        <f t="shared" si="2"/>
        <v>1320</v>
      </c>
      <c r="J65" s="7" t="s">
        <v>630</v>
      </c>
    </row>
    <row r="66" spans="1:10">
      <c r="A66" s="28" t="s">
        <v>235</v>
      </c>
      <c r="B66" s="32" t="s">
        <v>260</v>
      </c>
      <c r="C66" s="7">
        <v>1</v>
      </c>
      <c r="D66" s="7">
        <v>0</v>
      </c>
      <c r="E66" s="7">
        <v>120</v>
      </c>
      <c r="F66" s="7">
        <v>180</v>
      </c>
      <c r="G66" s="50">
        <f t="shared" si="0"/>
        <v>33.333333333333343</v>
      </c>
      <c r="H66" s="7">
        <f t="shared" si="1"/>
        <v>120</v>
      </c>
      <c r="I66" s="7">
        <f t="shared" si="2"/>
        <v>180</v>
      </c>
      <c r="J66" s="7" t="s">
        <v>630</v>
      </c>
    </row>
    <row r="67" spans="1:10">
      <c r="A67" s="28" t="s">
        <v>235</v>
      </c>
      <c r="B67" s="32" t="s">
        <v>268</v>
      </c>
      <c r="C67" s="7">
        <v>0</v>
      </c>
      <c r="D67" s="7">
        <v>5</v>
      </c>
      <c r="E67" s="7">
        <v>200</v>
      </c>
      <c r="F67" s="7">
        <v>270</v>
      </c>
      <c r="G67" s="50">
        <f t="shared" si="0"/>
        <v>25.925925925925924</v>
      </c>
      <c r="H67" s="7">
        <f t="shared" si="1"/>
        <v>0</v>
      </c>
      <c r="I67" s="7">
        <f t="shared" si="2"/>
        <v>0</v>
      </c>
      <c r="J67" s="7" t="s">
        <v>630</v>
      </c>
    </row>
    <row r="68" spans="1:10">
      <c r="A68" s="28" t="s">
        <v>235</v>
      </c>
      <c r="B68" s="32" t="s">
        <v>270</v>
      </c>
      <c r="C68" s="7">
        <v>6</v>
      </c>
      <c r="D68" s="7">
        <v>5</v>
      </c>
      <c r="E68" s="7">
        <v>120</v>
      </c>
      <c r="F68" s="7">
        <v>180</v>
      </c>
      <c r="G68" s="50">
        <f t="shared" ref="G68:G83" si="3">100-((E68/F68)*100)</f>
        <v>33.333333333333343</v>
      </c>
      <c r="H68" s="7">
        <f t="shared" si="1"/>
        <v>720</v>
      </c>
      <c r="I68" s="7">
        <f t="shared" si="2"/>
        <v>1080</v>
      </c>
      <c r="J68" s="7" t="s">
        <v>630</v>
      </c>
    </row>
    <row r="69" spans="1:10">
      <c r="A69" s="28" t="s">
        <v>235</v>
      </c>
      <c r="B69" s="32" t="s">
        <v>271</v>
      </c>
      <c r="C69" s="7">
        <v>2</v>
      </c>
      <c r="D69" s="7">
        <v>5</v>
      </c>
      <c r="E69" s="7">
        <v>90</v>
      </c>
      <c r="F69" s="7">
        <v>180</v>
      </c>
      <c r="G69" s="50">
        <f t="shared" si="3"/>
        <v>50</v>
      </c>
      <c r="H69" s="7">
        <f t="shared" ref="H69:H83" si="4">+E69*C69</f>
        <v>180</v>
      </c>
      <c r="I69" s="7">
        <f t="shared" ref="I69:I83" si="5">+F69*C69</f>
        <v>360</v>
      </c>
      <c r="J69" s="7" t="s">
        <v>630</v>
      </c>
    </row>
    <row r="70" spans="1:10">
      <c r="A70" s="28" t="s">
        <v>235</v>
      </c>
      <c r="B70" s="32" t="s">
        <v>272</v>
      </c>
      <c r="C70" s="7">
        <v>5</v>
      </c>
      <c r="D70" s="7">
        <v>0</v>
      </c>
      <c r="E70" s="7">
        <v>180</v>
      </c>
      <c r="F70" s="7">
        <v>250</v>
      </c>
      <c r="G70" s="50">
        <f t="shared" si="3"/>
        <v>28</v>
      </c>
      <c r="H70" s="7">
        <f t="shared" si="4"/>
        <v>900</v>
      </c>
      <c r="I70" s="7">
        <f t="shared" si="5"/>
        <v>1250</v>
      </c>
      <c r="J70" s="7" t="s">
        <v>630</v>
      </c>
    </row>
    <row r="71" spans="1:10">
      <c r="A71" s="28" t="s">
        <v>235</v>
      </c>
      <c r="B71" s="32" t="s">
        <v>273</v>
      </c>
      <c r="C71" s="7">
        <v>5</v>
      </c>
      <c r="D71" s="7">
        <v>5</v>
      </c>
      <c r="E71" s="7">
        <v>90</v>
      </c>
      <c r="F71" s="7">
        <v>120</v>
      </c>
      <c r="G71" s="50">
        <f t="shared" si="3"/>
        <v>25</v>
      </c>
      <c r="H71" s="7">
        <f t="shared" si="4"/>
        <v>450</v>
      </c>
      <c r="I71" s="7">
        <f t="shared" si="5"/>
        <v>600</v>
      </c>
      <c r="J71" s="7" t="s">
        <v>630</v>
      </c>
    </row>
    <row r="72" spans="1:10">
      <c r="A72" s="28" t="s">
        <v>235</v>
      </c>
      <c r="B72" s="32" t="s">
        <v>274</v>
      </c>
      <c r="C72" s="7">
        <v>1</v>
      </c>
      <c r="D72" s="7">
        <v>5</v>
      </c>
      <c r="E72" s="7">
        <v>300</v>
      </c>
      <c r="F72" s="7">
        <v>380</v>
      </c>
      <c r="G72" s="50">
        <f t="shared" si="3"/>
        <v>21.05263157894737</v>
      </c>
      <c r="H72" s="7">
        <f t="shared" si="4"/>
        <v>300</v>
      </c>
      <c r="I72" s="7">
        <f t="shared" si="5"/>
        <v>380</v>
      </c>
      <c r="J72" s="7" t="s">
        <v>630</v>
      </c>
    </row>
    <row r="73" spans="1:10">
      <c r="A73" s="28" t="s">
        <v>235</v>
      </c>
      <c r="B73" s="32" t="s">
        <v>275</v>
      </c>
      <c r="C73" s="7">
        <v>6</v>
      </c>
      <c r="D73" s="7">
        <v>5</v>
      </c>
      <c r="E73" s="7">
        <v>90</v>
      </c>
      <c r="F73" s="7">
        <v>120</v>
      </c>
      <c r="G73" s="50">
        <f t="shared" si="3"/>
        <v>25</v>
      </c>
      <c r="H73" s="7">
        <f t="shared" si="4"/>
        <v>540</v>
      </c>
      <c r="I73" s="7">
        <f t="shared" si="5"/>
        <v>720</v>
      </c>
      <c r="J73" s="7" t="s">
        <v>630</v>
      </c>
    </row>
    <row r="74" spans="1:10">
      <c r="A74" s="28" t="s">
        <v>235</v>
      </c>
      <c r="B74" s="32" t="s">
        <v>277</v>
      </c>
      <c r="C74" s="7">
        <v>5</v>
      </c>
      <c r="D74" s="7">
        <v>0</v>
      </c>
      <c r="E74" s="7">
        <v>90</v>
      </c>
      <c r="F74" s="7">
        <v>120</v>
      </c>
      <c r="G74" s="50">
        <f t="shared" si="3"/>
        <v>25</v>
      </c>
      <c r="H74" s="7">
        <f t="shared" si="4"/>
        <v>450</v>
      </c>
      <c r="I74" s="7">
        <f t="shared" si="5"/>
        <v>600</v>
      </c>
      <c r="J74" s="7" t="s">
        <v>630</v>
      </c>
    </row>
    <row r="75" spans="1:10">
      <c r="A75" s="28" t="s">
        <v>235</v>
      </c>
      <c r="B75" s="33" t="s">
        <v>306</v>
      </c>
      <c r="C75" s="7">
        <v>80</v>
      </c>
      <c r="D75" s="7">
        <v>50</v>
      </c>
      <c r="E75" s="7">
        <v>70</v>
      </c>
      <c r="F75" s="7">
        <v>130</v>
      </c>
      <c r="G75" s="50">
        <f t="shared" si="3"/>
        <v>46.153846153846153</v>
      </c>
      <c r="H75" s="7">
        <f t="shared" si="4"/>
        <v>5600</v>
      </c>
      <c r="I75" s="7">
        <f t="shared" si="5"/>
        <v>10400</v>
      </c>
      <c r="J75" s="7" t="s">
        <v>629</v>
      </c>
    </row>
    <row r="76" spans="1:10">
      <c r="A76" s="28" t="s">
        <v>235</v>
      </c>
      <c r="B76" s="33" t="s">
        <v>307</v>
      </c>
      <c r="C76" s="7">
        <v>8</v>
      </c>
      <c r="D76" s="7">
        <v>5</v>
      </c>
      <c r="E76" s="7">
        <v>70</v>
      </c>
      <c r="F76" s="7">
        <v>100</v>
      </c>
      <c r="G76" s="50">
        <f t="shared" si="3"/>
        <v>30</v>
      </c>
      <c r="H76" s="7">
        <f t="shared" si="4"/>
        <v>560</v>
      </c>
      <c r="I76" s="7">
        <f t="shared" si="5"/>
        <v>800</v>
      </c>
      <c r="J76" s="7" t="s">
        <v>630</v>
      </c>
    </row>
    <row r="77" spans="1:10">
      <c r="A77" s="28" t="s">
        <v>342</v>
      </c>
      <c r="B77" s="33" t="s">
        <v>338</v>
      </c>
      <c r="C77" s="7">
        <v>6</v>
      </c>
      <c r="D77" s="7">
        <v>20</v>
      </c>
      <c r="E77" s="7">
        <v>70</v>
      </c>
      <c r="F77" s="7">
        <v>90</v>
      </c>
      <c r="G77" s="50">
        <f t="shared" si="3"/>
        <v>22.222222222222214</v>
      </c>
      <c r="H77" s="7">
        <f t="shared" si="4"/>
        <v>420</v>
      </c>
      <c r="I77" s="7">
        <f t="shared" si="5"/>
        <v>540</v>
      </c>
      <c r="J77" s="7" t="s">
        <v>630</v>
      </c>
    </row>
    <row r="78" spans="1:10">
      <c r="A78" s="28" t="s">
        <v>342</v>
      </c>
      <c r="B78" s="33" t="s">
        <v>339</v>
      </c>
      <c r="C78" s="7">
        <v>5</v>
      </c>
      <c r="D78" s="7">
        <v>5</v>
      </c>
      <c r="E78" s="7">
        <v>120</v>
      </c>
      <c r="F78" s="7">
        <v>180</v>
      </c>
      <c r="G78" s="50">
        <f t="shared" si="3"/>
        <v>33.333333333333343</v>
      </c>
      <c r="H78" s="7">
        <f t="shared" si="4"/>
        <v>600</v>
      </c>
      <c r="I78" s="7">
        <f t="shared" si="5"/>
        <v>900</v>
      </c>
      <c r="J78" s="7" t="s">
        <v>630</v>
      </c>
    </row>
    <row r="79" spans="1:10">
      <c r="A79" s="28" t="s">
        <v>342</v>
      </c>
      <c r="B79" s="33" t="s">
        <v>340</v>
      </c>
      <c r="C79" s="7">
        <v>2</v>
      </c>
      <c r="D79" s="7">
        <v>5</v>
      </c>
      <c r="E79" s="7">
        <v>150</v>
      </c>
      <c r="F79" s="7">
        <v>250</v>
      </c>
      <c r="G79" s="50">
        <f t="shared" si="3"/>
        <v>40</v>
      </c>
      <c r="H79" s="7">
        <f t="shared" si="4"/>
        <v>300</v>
      </c>
      <c r="I79" s="7">
        <f t="shared" si="5"/>
        <v>500</v>
      </c>
      <c r="J79" s="7">
        <v>644</v>
      </c>
    </row>
    <row r="80" spans="1:10">
      <c r="A80" s="28" t="s">
        <v>342</v>
      </c>
      <c r="B80" s="33" t="s">
        <v>341</v>
      </c>
      <c r="C80" s="7">
        <v>2</v>
      </c>
      <c r="D80" s="7">
        <v>0</v>
      </c>
      <c r="E80" s="7">
        <v>300</v>
      </c>
      <c r="F80" s="7">
        <v>350</v>
      </c>
      <c r="G80" s="50">
        <f t="shared" si="3"/>
        <v>14.285714285714292</v>
      </c>
      <c r="H80" s="7">
        <f t="shared" si="4"/>
        <v>600</v>
      </c>
      <c r="I80" s="7">
        <f t="shared" si="5"/>
        <v>700</v>
      </c>
      <c r="J80" s="7" t="s">
        <v>630</v>
      </c>
    </row>
    <row r="81" spans="1:10">
      <c r="A81" s="28" t="s">
        <v>342</v>
      </c>
      <c r="B81" s="33" t="s">
        <v>318</v>
      </c>
      <c r="C81" s="7">
        <v>70</v>
      </c>
      <c r="D81" s="7">
        <v>50</v>
      </c>
      <c r="E81" s="7">
        <v>50</v>
      </c>
      <c r="F81" s="7">
        <v>70</v>
      </c>
      <c r="G81" s="50">
        <f t="shared" si="3"/>
        <v>28.571428571428569</v>
      </c>
      <c r="H81" s="7">
        <f t="shared" si="4"/>
        <v>3500</v>
      </c>
      <c r="I81" s="7">
        <f t="shared" si="5"/>
        <v>4900</v>
      </c>
      <c r="J81" s="7" t="s">
        <v>630</v>
      </c>
    </row>
    <row r="82" spans="1:10">
      <c r="A82" s="28" t="s">
        <v>342</v>
      </c>
      <c r="B82" s="33" t="s">
        <v>343</v>
      </c>
      <c r="C82" s="7">
        <v>0</v>
      </c>
      <c r="D82" s="7">
        <v>5</v>
      </c>
      <c r="E82" s="7">
        <v>200</v>
      </c>
      <c r="F82" s="7">
        <v>250</v>
      </c>
      <c r="G82" s="50">
        <f t="shared" si="3"/>
        <v>20</v>
      </c>
      <c r="H82" s="7">
        <f t="shared" si="4"/>
        <v>0</v>
      </c>
      <c r="I82" s="7">
        <f t="shared" si="5"/>
        <v>0</v>
      </c>
      <c r="J82" s="7" t="s">
        <v>630</v>
      </c>
    </row>
    <row r="83" spans="1:10">
      <c r="A83" s="28" t="s">
        <v>342</v>
      </c>
      <c r="B83" s="33" t="s">
        <v>345</v>
      </c>
      <c r="C83" s="7">
        <v>0</v>
      </c>
      <c r="D83" s="7">
        <v>5</v>
      </c>
      <c r="E83" s="7">
        <v>90</v>
      </c>
      <c r="F83" s="7">
        <v>120</v>
      </c>
      <c r="G83" s="50">
        <f t="shared" si="3"/>
        <v>25</v>
      </c>
      <c r="H83" s="7">
        <f t="shared" si="4"/>
        <v>0</v>
      </c>
      <c r="I83" s="7">
        <f t="shared" si="5"/>
        <v>0</v>
      </c>
      <c r="J83" s="7" t="s">
        <v>630</v>
      </c>
    </row>
    <row r="84" spans="1:10">
      <c r="H84" s="53">
        <f>SUM(H2:H83)</f>
        <v>50705</v>
      </c>
      <c r="I84" s="53">
        <f>SUM(I2:I83)</f>
        <v>73590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:J32"/>
  <sheetViews>
    <sheetView workbookViewId="0">
      <selection activeCell="C10" sqref="C10"/>
    </sheetView>
  </sheetViews>
  <sheetFormatPr defaultRowHeight="15"/>
  <cols>
    <col min="1" max="1" width="16.140625" style="37" bestFit="1" customWidth="1"/>
    <col min="2" max="2" width="16.42578125" style="8" bestFit="1" customWidth="1"/>
    <col min="3" max="3" width="10.7109375" bestFit="1" customWidth="1"/>
    <col min="4" max="4" width="10.140625" bestFit="1" customWidth="1"/>
    <col min="5" max="5" width="10.7109375" bestFit="1" customWidth="1"/>
  </cols>
  <sheetData>
    <row r="1" spans="1:10">
      <c r="B1" s="5"/>
      <c r="C1" s="5" t="s">
        <v>475</v>
      </c>
      <c r="D1" s="5" t="s">
        <v>538</v>
      </c>
      <c r="E1" s="10" t="s">
        <v>612</v>
      </c>
      <c r="F1" s="12" t="s">
        <v>613</v>
      </c>
      <c r="G1" s="9" t="s">
        <v>641</v>
      </c>
      <c r="H1" s="57" t="s">
        <v>614</v>
      </c>
      <c r="I1" s="58" t="s">
        <v>615</v>
      </c>
      <c r="J1" s="51" t="s">
        <v>626</v>
      </c>
    </row>
    <row r="2" spans="1:10">
      <c r="A2" s="28" t="s">
        <v>237</v>
      </c>
      <c r="B2" s="7" t="s">
        <v>238</v>
      </c>
      <c r="C2" s="7">
        <v>3</v>
      </c>
      <c r="D2" s="7">
        <v>10</v>
      </c>
      <c r="E2" s="7">
        <v>100</v>
      </c>
      <c r="F2" s="7">
        <v>130</v>
      </c>
      <c r="G2" s="50">
        <f>100-((E2/F2)*100)</f>
        <v>23.076923076923066</v>
      </c>
      <c r="H2" s="7">
        <f>+E2*C2</f>
        <v>300</v>
      </c>
      <c r="I2" s="7">
        <f>+F2*C2</f>
        <v>390</v>
      </c>
      <c r="J2" s="16">
        <v>644</v>
      </c>
    </row>
    <row r="3" spans="1:10">
      <c r="A3" s="28" t="s">
        <v>237</v>
      </c>
      <c r="B3" s="7" t="s">
        <v>285</v>
      </c>
      <c r="C3" s="7">
        <v>1</v>
      </c>
      <c r="D3" s="7">
        <v>5</v>
      </c>
      <c r="E3" s="7">
        <v>90</v>
      </c>
      <c r="F3" s="7">
        <v>180</v>
      </c>
      <c r="G3" s="50">
        <f t="shared" ref="G3:G31" si="0">100-((E3/F3)*100)</f>
        <v>50</v>
      </c>
      <c r="H3" s="7">
        <f t="shared" ref="H3:H31" si="1">+E3*C3</f>
        <v>90</v>
      </c>
      <c r="I3" s="7">
        <f t="shared" ref="I3:I31" si="2">+F3*C3</f>
        <v>180</v>
      </c>
      <c r="J3" s="16">
        <v>644</v>
      </c>
    </row>
    <row r="4" spans="1:10">
      <c r="A4" s="28" t="s">
        <v>237</v>
      </c>
      <c r="B4" s="7" t="s">
        <v>286</v>
      </c>
      <c r="C4" s="7">
        <v>1</v>
      </c>
      <c r="D4" s="7">
        <v>5</v>
      </c>
      <c r="E4" s="7">
        <v>200</v>
      </c>
      <c r="F4" s="7">
        <v>350</v>
      </c>
      <c r="G4" s="50">
        <f t="shared" si="0"/>
        <v>42.857142857142861</v>
      </c>
      <c r="H4" s="7">
        <f t="shared" si="1"/>
        <v>200</v>
      </c>
      <c r="I4" s="7">
        <f t="shared" si="2"/>
        <v>350</v>
      </c>
      <c r="J4" s="16">
        <v>644</v>
      </c>
    </row>
    <row r="5" spans="1:10">
      <c r="A5" s="28" t="s">
        <v>237</v>
      </c>
      <c r="B5" s="7" t="s">
        <v>287</v>
      </c>
      <c r="C5" s="7">
        <v>7</v>
      </c>
      <c r="D5" s="7">
        <v>20</v>
      </c>
      <c r="E5" s="7">
        <v>45</v>
      </c>
      <c r="F5" s="7">
        <v>60</v>
      </c>
      <c r="G5" s="50">
        <f t="shared" si="0"/>
        <v>25</v>
      </c>
      <c r="H5" s="7">
        <f t="shared" si="1"/>
        <v>315</v>
      </c>
      <c r="I5" s="7">
        <f t="shared" si="2"/>
        <v>420</v>
      </c>
      <c r="J5" s="16">
        <v>644</v>
      </c>
    </row>
    <row r="6" spans="1:10">
      <c r="A6" s="28" t="s">
        <v>237</v>
      </c>
      <c r="B6" s="7" t="s">
        <v>288</v>
      </c>
      <c r="C6" s="7">
        <v>40</v>
      </c>
      <c r="D6" s="7">
        <v>50</v>
      </c>
      <c r="E6" s="7">
        <v>7</v>
      </c>
      <c r="F6" s="7">
        <v>10</v>
      </c>
      <c r="G6" s="50">
        <f t="shared" si="0"/>
        <v>30</v>
      </c>
      <c r="H6" s="7">
        <f t="shared" si="1"/>
        <v>280</v>
      </c>
      <c r="I6" s="7">
        <f t="shared" si="2"/>
        <v>400</v>
      </c>
      <c r="J6" s="16">
        <v>644</v>
      </c>
    </row>
    <row r="7" spans="1:10">
      <c r="A7" s="28" t="s">
        <v>237</v>
      </c>
      <c r="B7" s="7" t="s">
        <v>289</v>
      </c>
      <c r="C7" s="7">
        <v>0</v>
      </c>
      <c r="D7" s="7">
        <v>5</v>
      </c>
      <c r="E7" s="7">
        <v>15</v>
      </c>
      <c r="F7" s="7">
        <v>40</v>
      </c>
      <c r="G7" s="50">
        <f t="shared" si="0"/>
        <v>62.5</v>
      </c>
      <c r="H7" s="7">
        <f t="shared" si="1"/>
        <v>0</v>
      </c>
      <c r="I7" s="7">
        <f t="shared" si="2"/>
        <v>0</v>
      </c>
      <c r="J7" s="16">
        <v>644</v>
      </c>
    </row>
    <row r="8" spans="1:10">
      <c r="A8" s="28" t="s">
        <v>237</v>
      </c>
      <c r="B8" s="7" t="s">
        <v>290</v>
      </c>
      <c r="C8" s="7">
        <v>5</v>
      </c>
      <c r="D8" s="7">
        <v>5</v>
      </c>
      <c r="E8" s="7">
        <v>15</v>
      </c>
      <c r="F8" s="7">
        <v>40</v>
      </c>
      <c r="G8" s="50">
        <f t="shared" si="0"/>
        <v>62.5</v>
      </c>
      <c r="H8" s="7">
        <f t="shared" si="1"/>
        <v>75</v>
      </c>
      <c r="I8" s="7">
        <f t="shared" si="2"/>
        <v>200</v>
      </c>
      <c r="J8" s="16">
        <v>644</v>
      </c>
    </row>
    <row r="9" spans="1:10">
      <c r="A9" s="28" t="s">
        <v>237</v>
      </c>
      <c r="B9" s="7" t="s">
        <v>270</v>
      </c>
      <c r="C9" s="7">
        <v>10</v>
      </c>
      <c r="D9" s="7">
        <v>5</v>
      </c>
      <c r="E9" s="7">
        <v>20</v>
      </c>
      <c r="F9" s="7">
        <v>40</v>
      </c>
      <c r="G9" s="50">
        <f t="shared" si="0"/>
        <v>50</v>
      </c>
      <c r="H9" s="7">
        <f t="shared" si="1"/>
        <v>200</v>
      </c>
      <c r="I9" s="7">
        <f t="shared" si="2"/>
        <v>400</v>
      </c>
      <c r="J9" s="16">
        <v>644</v>
      </c>
    </row>
    <row r="10" spans="1:10">
      <c r="A10" s="28" t="s">
        <v>237</v>
      </c>
      <c r="B10" s="7" t="s">
        <v>291</v>
      </c>
      <c r="C10" s="7">
        <v>10</v>
      </c>
      <c r="D10" s="7">
        <v>5</v>
      </c>
      <c r="E10" s="7">
        <v>20</v>
      </c>
      <c r="F10" s="7">
        <v>30</v>
      </c>
      <c r="G10" s="50">
        <f t="shared" si="0"/>
        <v>33.333333333333343</v>
      </c>
      <c r="H10" s="7">
        <f t="shared" si="1"/>
        <v>200</v>
      </c>
      <c r="I10" s="7">
        <f t="shared" si="2"/>
        <v>300</v>
      </c>
      <c r="J10" s="16">
        <v>644</v>
      </c>
    </row>
    <row r="11" spans="1:10">
      <c r="A11" s="28" t="s">
        <v>237</v>
      </c>
      <c r="B11" s="7" t="s">
        <v>292</v>
      </c>
      <c r="C11" s="7">
        <v>0</v>
      </c>
      <c r="D11" s="7">
        <v>5</v>
      </c>
      <c r="E11" s="7">
        <v>55</v>
      </c>
      <c r="F11" s="7">
        <v>90</v>
      </c>
      <c r="G11" s="50">
        <f t="shared" si="0"/>
        <v>38.888888888888886</v>
      </c>
      <c r="H11" s="7">
        <f t="shared" si="1"/>
        <v>0</v>
      </c>
      <c r="I11" s="7">
        <f t="shared" si="2"/>
        <v>0</v>
      </c>
      <c r="J11" s="16">
        <v>644</v>
      </c>
    </row>
    <row r="12" spans="1:10">
      <c r="A12" s="28" t="s">
        <v>237</v>
      </c>
      <c r="B12" s="7" t="s">
        <v>293</v>
      </c>
      <c r="C12" s="7">
        <v>0</v>
      </c>
      <c r="D12" s="7">
        <v>5</v>
      </c>
      <c r="E12" s="7">
        <v>75</v>
      </c>
      <c r="F12" s="7">
        <v>180</v>
      </c>
      <c r="G12" s="50">
        <f t="shared" si="0"/>
        <v>58.333333333333329</v>
      </c>
      <c r="H12" s="7">
        <f t="shared" si="1"/>
        <v>0</v>
      </c>
      <c r="I12" s="7">
        <f t="shared" si="2"/>
        <v>0</v>
      </c>
      <c r="J12" s="16">
        <v>644</v>
      </c>
    </row>
    <row r="13" spans="1:10">
      <c r="A13" s="28" t="s">
        <v>237</v>
      </c>
      <c r="B13" s="7" t="s">
        <v>298</v>
      </c>
      <c r="C13" s="7">
        <v>0</v>
      </c>
      <c r="D13" s="7">
        <v>5</v>
      </c>
      <c r="E13" s="7">
        <v>130</v>
      </c>
      <c r="F13" s="7">
        <v>250</v>
      </c>
      <c r="G13" s="50">
        <f t="shared" si="0"/>
        <v>48</v>
      </c>
      <c r="H13" s="7">
        <f t="shared" si="1"/>
        <v>0</v>
      </c>
      <c r="I13" s="7">
        <f t="shared" si="2"/>
        <v>0</v>
      </c>
      <c r="J13" s="16">
        <v>472</v>
      </c>
    </row>
    <row r="14" spans="1:10">
      <c r="A14" s="28" t="s">
        <v>237</v>
      </c>
      <c r="B14" s="7" t="s">
        <v>299</v>
      </c>
      <c r="C14" s="7">
        <v>1</v>
      </c>
      <c r="D14" s="7">
        <v>5</v>
      </c>
      <c r="E14" s="7">
        <v>120</v>
      </c>
      <c r="F14" s="7">
        <v>250</v>
      </c>
      <c r="G14" s="50">
        <f t="shared" si="0"/>
        <v>52</v>
      </c>
      <c r="H14" s="7">
        <f t="shared" si="1"/>
        <v>120</v>
      </c>
      <c r="I14" s="7">
        <f t="shared" si="2"/>
        <v>250</v>
      </c>
      <c r="J14" s="16">
        <v>472</v>
      </c>
    </row>
    <row r="15" spans="1:10">
      <c r="A15" s="28" t="s">
        <v>237</v>
      </c>
      <c r="B15" s="7" t="s">
        <v>686</v>
      </c>
      <c r="C15" s="7">
        <v>13</v>
      </c>
      <c r="D15" s="7">
        <v>10</v>
      </c>
      <c r="E15" s="7">
        <v>20</v>
      </c>
      <c r="F15" s="7">
        <v>50</v>
      </c>
      <c r="G15" s="50">
        <f t="shared" si="0"/>
        <v>60</v>
      </c>
      <c r="H15" s="7">
        <f t="shared" si="1"/>
        <v>260</v>
      </c>
      <c r="I15" s="7">
        <f t="shared" si="2"/>
        <v>650</v>
      </c>
      <c r="J15" s="16">
        <v>644</v>
      </c>
    </row>
    <row r="16" spans="1:10">
      <c r="A16" s="28" t="s">
        <v>237</v>
      </c>
      <c r="B16" s="7" t="s">
        <v>300</v>
      </c>
      <c r="C16" s="7">
        <v>1</v>
      </c>
      <c r="D16" s="7">
        <v>5</v>
      </c>
      <c r="E16" s="7">
        <v>300</v>
      </c>
      <c r="F16" s="7">
        <v>400</v>
      </c>
      <c r="G16" s="50">
        <f t="shared" si="0"/>
        <v>25</v>
      </c>
      <c r="H16" s="7">
        <f t="shared" si="1"/>
        <v>300</v>
      </c>
      <c r="I16" s="7">
        <f t="shared" si="2"/>
        <v>400</v>
      </c>
      <c r="J16" s="16">
        <v>644</v>
      </c>
    </row>
    <row r="17" spans="1:10">
      <c r="A17" s="28" t="s">
        <v>237</v>
      </c>
      <c r="B17" s="7" t="s">
        <v>301</v>
      </c>
      <c r="C17" s="7">
        <v>4</v>
      </c>
      <c r="D17" s="7">
        <v>5</v>
      </c>
      <c r="E17" s="7">
        <v>90</v>
      </c>
      <c r="F17" s="7">
        <v>150</v>
      </c>
      <c r="G17" s="50">
        <f t="shared" si="0"/>
        <v>40</v>
      </c>
      <c r="H17" s="7">
        <f t="shared" si="1"/>
        <v>360</v>
      </c>
      <c r="I17" s="7">
        <f t="shared" si="2"/>
        <v>600</v>
      </c>
      <c r="J17" s="16">
        <v>594</v>
      </c>
    </row>
    <row r="18" spans="1:10">
      <c r="A18" s="28" t="s">
        <v>237</v>
      </c>
      <c r="B18" s="7" t="s">
        <v>302</v>
      </c>
      <c r="C18" s="7">
        <v>0</v>
      </c>
      <c r="D18" s="7">
        <v>5</v>
      </c>
      <c r="E18" s="7">
        <v>350</v>
      </c>
      <c r="F18" s="7">
        <v>400</v>
      </c>
      <c r="G18" s="50">
        <f t="shared" si="0"/>
        <v>12.5</v>
      </c>
      <c r="H18" s="7">
        <f t="shared" si="1"/>
        <v>0</v>
      </c>
      <c r="I18" s="7">
        <f t="shared" si="2"/>
        <v>0</v>
      </c>
      <c r="J18" s="16">
        <v>594</v>
      </c>
    </row>
    <row r="19" spans="1:10">
      <c r="A19" s="28" t="s">
        <v>237</v>
      </c>
      <c r="B19" s="7" t="s">
        <v>303</v>
      </c>
      <c r="C19" s="7">
        <v>0</v>
      </c>
      <c r="D19" s="7">
        <v>0</v>
      </c>
      <c r="E19" s="7">
        <v>1200</v>
      </c>
      <c r="F19" s="7">
        <v>1500</v>
      </c>
      <c r="G19" s="50">
        <f t="shared" si="0"/>
        <v>20</v>
      </c>
      <c r="H19" s="7">
        <f t="shared" si="1"/>
        <v>0</v>
      </c>
      <c r="I19" s="7">
        <f t="shared" si="2"/>
        <v>0</v>
      </c>
      <c r="J19" s="16">
        <v>594</v>
      </c>
    </row>
    <row r="20" spans="1:10">
      <c r="A20" s="28" t="s">
        <v>237</v>
      </c>
      <c r="B20" s="7" t="s">
        <v>304</v>
      </c>
      <c r="C20" s="7">
        <v>0</v>
      </c>
      <c r="D20" s="7">
        <v>0</v>
      </c>
      <c r="E20" s="7">
        <v>1200</v>
      </c>
      <c r="F20" s="7">
        <v>1500</v>
      </c>
      <c r="G20" s="50">
        <f t="shared" si="0"/>
        <v>20</v>
      </c>
      <c r="H20" s="7">
        <f t="shared" si="1"/>
        <v>0</v>
      </c>
      <c r="I20" s="7">
        <f t="shared" si="2"/>
        <v>0</v>
      </c>
      <c r="J20" s="1" t="s">
        <v>629</v>
      </c>
    </row>
    <row r="21" spans="1:10">
      <c r="A21" s="28" t="s">
        <v>237</v>
      </c>
      <c r="B21" s="7" t="s">
        <v>305</v>
      </c>
      <c r="C21" s="7">
        <v>0</v>
      </c>
      <c r="D21" s="7">
        <v>5</v>
      </c>
      <c r="E21" s="7">
        <v>220</v>
      </c>
      <c r="F21" s="7">
        <v>300</v>
      </c>
      <c r="G21" s="50">
        <f t="shared" si="0"/>
        <v>26.666666666666671</v>
      </c>
      <c r="H21" s="7">
        <f t="shared" si="1"/>
        <v>0</v>
      </c>
      <c r="I21" s="7">
        <f t="shared" si="2"/>
        <v>0</v>
      </c>
      <c r="J21" s="16">
        <v>594</v>
      </c>
    </row>
    <row r="22" spans="1:10">
      <c r="A22" s="42" t="s">
        <v>294</v>
      </c>
      <c r="B22" s="16" t="s">
        <v>295</v>
      </c>
      <c r="C22" s="7">
        <v>0</v>
      </c>
      <c r="D22" s="7">
        <v>10</v>
      </c>
      <c r="E22" s="7">
        <v>100</v>
      </c>
      <c r="F22" s="7">
        <v>140</v>
      </c>
      <c r="G22" s="50">
        <f t="shared" si="0"/>
        <v>28.571428571428569</v>
      </c>
      <c r="H22" s="7">
        <f t="shared" si="1"/>
        <v>0</v>
      </c>
      <c r="I22" s="7">
        <f t="shared" si="2"/>
        <v>0</v>
      </c>
      <c r="J22" s="16">
        <v>644</v>
      </c>
    </row>
    <row r="23" spans="1:10">
      <c r="A23" s="42" t="s">
        <v>294</v>
      </c>
      <c r="B23" s="16" t="s">
        <v>296</v>
      </c>
      <c r="C23" s="7">
        <v>0</v>
      </c>
      <c r="D23" s="7">
        <v>10</v>
      </c>
      <c r="E23" s="7">
        <v>100</v>
      </c>
      <c r="F23" s="7">
        <v>140</v>
      </c>
      <c r="G23" s="50">
        <f t="shared" si="0"/>
        <v>28.571428571428569</v>
      </c>
      <c r="H23" s="7">
        <f t="shared" si="1"/>
        <v>0</v>
      </c>
      <c r="I23" s="7">
        <f t="shared" si="2"/>
        <v>0</v>
      </c>
      <c r="J23" s="16">
        <v>644</v>
      </c>
    </row>
    <row r="24" spans="1:10">
      <c r="A24" s="42" t="s">
        <v>294</v>
      </c>
      <c r="B24" s="16" t="s">
        <v>297</v>
      </c>
      <c r="C24" s="7">
        <v>2</v>
      </c>
      <c r="D24" s="7">
        <v>10</v>
      </c>
      <c r="E24" s="7">
        <v>90</v>
      </c>
      <c r="F24" s="7">
        <v>120</v>
      </c>
      <c r="G24" s="50">
        <f t="shared" si="0"/>
        <v>25</v>
      </c>
      <c r="H24" s="7">
        <f t="shared" si="1"/>
        <v>180</v>
      </c>
      <c r="I24" s="7">
        <f t="shared" si="2"/>
        <v>240</v>
      </c>
      <c r="J24" s="16">
        <v>644</v>
      </c>
    </row>
    <row r="25" spans="1:10">
      <c r="A25" s="42" t="s">
        <v>294</v>
      </c>
      <c r="B25" s="7" t="s">
        <v>478</v>
      </c>
      <c r="C25" s="7">
        <v>0</v>
      </c>
      <c r="D25" s="7">
        <v>10</v>
      </c>
      <c r="E25" s="7">
        <v>90</v>
      </c>
      <c r="F25" s="7">
        <v>120</v>
      </c>
      <c r="G25" s="50">
        <f t="shared" si="0"/>
        <v>25</v>
      </c>
      <c r="H25" s="7">
        <f t="shared" si="1"/>
        <v>0</v>
      </c>
      <c r="I25" s="7">
        <f t="shared" si="2"/>
        <v>0</v>
      </c>
      <c r="J25" s="16">
        <v>644</v>
      </c>
    </row>
    <row r="26" spans="1:10">
      <c r="A26" s="42" t="s">
        <v>294</v>
      </c>
      <c r="B26" s="7" t="s">
        <v>479</v>
      </c>
      <c r="C26" s="7">
        <v>2</v>
      </c>
      <c r="D26" s="7">
        <v>10</v>
      </c>
      <c r="E26" s="7">
        <v>90</v>
      </c>
      <c r="F26" s="7">
        <v>120</v>
      </c>
      <c r="G26" s="50">
        <f t="shared" si="0"/>
        <v>25</v>
      </c>
      <c r="H26" s="7">
        <f t="shared" si="1"/>
        <v>180</v>
      </c>
      <c r="I26" s="7">
        <f t="shared" si="2"/>
        <v>240</v>
      </c>
      <c r="J26" s="16">
        <v>644</v>
      </c>
    </row>
    <row r="27" spans="1:10">
      <c r="A27" s="42" t="s">
        <v>294</v>
      </c>
      <c r="B27" s="7" t="s">
        <v>480</v>
      </c>
      <c r="C27" s="7">
        <v>2</v>
      </c>
      <c r="D27" s="7">
        <v>10</v>
      </c>
      <c r="E27" s="7">
        <v>90</v>
      </c>
      <c r="F27" s="7">
        <v>120</v>
      </c>
      <c r="G27" s="50">
        <f t="shared" si="0"/>
        <v>25</v>
      </c>
      <c r="H27" s="7">
        <f t="shared" si="1"/>
        <v>180</v>
      </c>
      <c r="I27" s="7">
        <f t="shared" si="2"/>
        <v>240</v>
      </c>
      <c r="J27" s="16">
        <v>644</v>
      </c>
    </row>
    <row r="28" spans="1:10">
      <c r="A28" s="42" t="s">
        <v>294</v>
      </c>
      <c r="B28" s="7" t="s">
        <v>481</v>
      </c>
      <c r="C28" s="7">
        <v>0</v>
      </c>
      <c r="D28" s="7">
        <v>10</v>
      </c>
      <c r="E28" s="7">
        <v>90</v>
      </c>
      <c r="F28" s="7">
        <v>120</v>
      </c>
      <c r="G28" s="50">
        <f t="shared" si="0"/>
        <v>25</v>
      </c>
      <c r="H28" s="7">
        <f t="shared" si="1"/>
        <v>0</v>
      </c>
      <c r="I28" s="7">
        <f t="shared" si="2"/>
        <v>0</v>
      </c>
      <c r="J28" s="16">
        <v>644</v>
      </c>
    </row>
    <row r="29" spans="1:10">
      <c r="A29" s="42" t="s">
        <v>294</v>
      </c>
      <c r="B29" s="7" t="s">
        <v>482</v>
      </c>
      <c r="C29" s="7">
        <v>0</v>
      </c>
      <c r="D29" s="7">
        <v>10</v>
      </c>
      <c r="E29" s="7">
        <v>90</v>
      </c>
      <c r="F29" s="7">
        <v>120</v>
      </c>
      <c r="G29" s="50">
        <f t="shared" si="0"/>
        <v>25</v>
      </c>
      <c r="H29" s="7">
        <f t="shared" si="1"/>
        <v>0</v>
      </c>
      <c r="I29" s="7">
        <f t="shared" si="2"/>
        <v>0</v>
      </c>
      <c r="J29" s="16">
        <v>644</v>
      </c>
    </row>
    <row r="30" spans="1:10">
      <c r="A30" s="42" t="s">
        <v>294</v>
      </c>
      <c r="B30" s="7" t="s">
        <v>483</v>
      </c>
      <c r="C30" s="7">
        <v>8</v>
      </c>
      <c r="D30" s="7">
        <v>10</v>
      </c>
      <c r="E30" s="7">
        <v>90</v>
      </c>
      <c r="F30" s="7">
        <v>120</v>
      </c>
      <c r="G30" s="50">
        <f t="shared" si="0"/>
        <v>25</v>
      </c>
      <c r="H30" s="7">
        <f t="shared" si="1"/>
        <v>720</v>
      </c>
      <c r="I30" s="7">
        <f t="shared" si="2"/>
        <v>960</v>
      </c>
      <c r="J30" s="16">
        <v>644</v>
      </c>
    </row>
    <row r="31" spans="1:10">
      <c r="A31" s="42" t="s">
        <v>294</v>
      </c>
      <c r="B31" s="7" t="s">
        <v>484</v>
      </c>
      <c r="C31" s="7">
        <v>6</v>
      </c>
      <c r="D31" s="7">
        <v>10</v>
      </c>
      <c r="E31" s="7">
        <v>130</v>
      </c>
      <c r="F31" s="7">
        <v>180</v>
      </c>
      <c r="G31" s="50">
        <f t="shared" si="0"/>
        <v>27.777777777777786</v>
      </c>
      <c r="H31" s="7">
        <f t="shared" si="1"/>
        <v>780</v>
      </c>
      <c r="I31" s="7">
        <f t="shared" si="2"/>
        <v>1080</v>
      </c>
      <c r="J31" s="16">
        <v>644</v>
      </c>
    </row>
    <row r="32" spans="1:10">
      <c r="H32" s="53">
        <f>SUM(H2:H31)</f>
        <v>4740</v>
      </c>
      <c r="I32" s="53">
        <f>SUM(I2:I31)</f>
        <v>7300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J150"/>
  <sheetViews>
    <sheetView workbookViewId="0">
      <pane ySplit="1" topLeftCell="A121" activePane="bottomLeft" state="frozen"/>
      <selection pane="bottomLeft" activeCell="C145" sqref="C145"/>
    </sheetView>
  </sheetViews>
  <sheetFormatPr defaultRowHeight="15"/>
  <cols>
    <col min="1" max="1" width="19" style="37" bestFit="1" customWidth="1"/>
    <col min="2" max="2" width="27.140625" style="37" bestFit="1" customWidth="1"/>
    <col min="3" max="3" width="10.7109375" bestFit="1" customWidth="1"/>
    <col min="4" max="4" width="10.140625" style="8" bestFit="1" customWidth="1"/>
    <col min="7" max="7" width="9.140625" style="8"/>
  </cols>
  <sheetData>
    <row r="1" spans="1:10" ht="15.75" thickBot="1">
      <c r="B1" s="28"/>
      <c r="C1" s="24" t="s">
        <v>475</v>
      </c>
      <c r="D1" s="35" t="s">
        <v>538</v>
      </c>
      <c r="E1" s="10" t="s">
        <v>612</v>
      </c>
      <c r="F1" s="12" t="s">
        <v>613</v>
      </c>
      <c r="G1" s="9" t="s">
        <v>641</v>
      </c>
      <c r="H1" s="57" t="s">
        <v>614</v>
      </c>
      <c r="I1" s="58" t="s">
        <v>615</v>
      </c>
      <c r="J1" s="51" t="s">
        <v>626</v>
      </c>
    </row>
    <row r="2" spans="1:10">
      <c r="A2" s="28" t="s">
        <v>346</v>
      </c>
      <c r="B2" s="32" t="s">
        <v>688</v>
      </c>
      <c r="C2" s="7">
        <v>15</v>
      </c>
      <c r="D2" s="18">
        <v>10</v>
      </c>
      <c r="E2" s="7">
        <v>65</v>
      </c>
      <c r="F2" s="7">
        <v>100</v>
      </c>
      <c r="G2" s="74">
        <f>100-((E2/F2)*100)</f>
        <v>35</v>
      </c>
      <c r="H2" s="7">
        <f>+E2*C2</f>
        <v>975</v>
      </c>
      <c r="I2" s="7">
        <f>+F2*C2</f>
        <v>1500</v>
      </c>
      <c r="J2" s="16">
        <v>472</v>
      </c>
    </row>
    <row r="3" spans="1:10">
      <c r="A3" s="28" t="s">
        <v>346</v>
      </c>
      <c r="B3" s="32" t="s">
        <v>687</v>
      </c>
      <c r="C3" s="7">
        <v>1</v>
      </c>
      <c r="D3" s="18">
        <v>10</v>
      </c>
      <c r="E3" s="7">
        <v>40</v>
      </c>
      <c r="F3" s="7">
        <v>60</v>
      </c>
      <c r="G3" s="74">
        <f>100-((E3/F3)*100)</f>
        <v>33.333333333333343</v>
      </c>
      <c r="H3" s="7">
        <f>+E3*C3</f>
        <v>40</v>
      </c>
      <c r="I3" s="7">
        <f>+F3*C3</f>
        <v>60</v>
      </c>
      <c r="J3" s="16">
        <v>472</v>
      </c>
    </row>
    <row r="4" spans="1:10">
      <c r="A4" s="28" t="s">
        <v>346</v>
      </c>
      <c r="B4" s="32" t="s">
        <v>486</v>
      </c>
      <c r="C4" s="7">
        <v>20</v>
      </c>
      <c r="D4" s="7">
        <v>10</v>
      </c>
      <c r="E4" s="7">
        <v>4</v>
      </c>
      <c r="F4" s="7">
        <v>10</v>
      </c>
      <c r="G4" s="74">
        <f t="shared" ref="G4:G67" si="0">100-((E4/F4)*100)</f>
        <v>60</v>
      </c>
      <c r="H4" s="7">
        <f t="shared" ref="H4:H73" si="1">+E4*C4</f>
        <v>80</v>
      </c>
      <c r="I4" s="7">
        <f t="shared" ref="I4:I73" si="2">+F4*C4</f>
        <v>200</v>
      </c>
      <c r="J4" s="16">
        <v>472</v>
      </c>
    </row>
    <row r="5" spans="1:10">
      <c r="A5" s="28" t="s">
        <v>346</v>
      </c>
      <c r="B5" s="32" t="s">
        <v>487</v>
      </c>
      <c r="C5" s="7">
        <v>0</v>
      </c>
      <c r="D5" s="7">
        <v>10</v>
      </c>
      <c r="E5" s="7">
        <v>25</v>
      </c>
      <c r="F5" s="7">
        <v>40</v>
      </c>
      <c r="G5" s="74">
        <f t="shared" si="0"/>
        <v>37.5</v>
      </c>
      <c r="H5" s="7">
        <f t="shared" si="1"/>
        <v>0</v>
      </c>
      <c r="I5" s="7">
        <f t="shared" si="2"/>
        <v>0</v>
      </c>
      <c r="J5" s="7"/>
    </row>
    <row r="6" spans="1:10">
      <c r="A6" s="28" t="s">
        <v>346</v>
      </c>
      <c r="B6" s="32" t="s">
        <v>347</v>
      </c>
      <c r="C6" s="7">
        <v>40</v>
      </c>
      <c r="D6" s="7">
        <v>10</v>
      </c>
      <c r="E6" s="7">
        <v>4.5</v>
      </c>
      <c r="F6" s="7">
        <v>10</v>
      </c>
      <c r="G6" s="74">
        <f t="shared" si="0"/>
        <v>55</v>
      </c>
      <c r="H6" s="7">
        <f t="shared" si="1"/>
        <v>180</v>
      </c>
      <c r="I6" s="7">
        <f t="shared" si="2"/>
        <v>400</v>
      </c>
      <c r="J6" s="7">
        <v>50</v>
      </c>
    </row>
    <row r="7" spans="1:10">
      <c r="A7" s="28" t="s">
        <v>346</v>
      </c>
      <c r="B7" s="32" t="s">
        <v>348</v>
      </c>
      <c r="C7" s="7">
        <v>0</v>
      </c>
      <c r="D7" s="7">
        <v>5</v>
      </c>
      <c r="E7" s="7">
        <v>30</v>
      </c>
      <c r="F7" s="7">
        <v>50</v>
      </c>
      <c r="G7" s="74">
        <f t="shared" si="0"/>
        <v>40</v>
      </c>
      <c r="H7" s="7">
        <f t="shared" si="1"/>
        <v>0</v>
      </c>
      <c r="I7" s="7">
        <f t="shared" si="2"/>
        <v>0</v>
      </c>
      <c r="J7" s="7"/>
    </row>
    <row r="8" spans="1:10">
      <c r="A8" s="28" t="s">
        <v>346</v>
      </c>
      <c r="B8" s="32" t="s">
        <v>349</v>
      </c>
      <c r="C8" s="7">
        <v>2</v>
      </c>
      <c r="D8" s="7">
        <v>0</v>
      </c>
      <c r="E8" s="7">
        <v>20</v>
      </c>
      <c r="F8" s="7">
        <v>30</v>
      </c>
      <c r="G8" s="74">
        <f t="shared" si="0"/>
        <v>33.333333333333343</v>
      </c>
      <c r="H8" s="7">
        <f t="shared" si="1"/>
        <v>40</v>
      </c>
      <c r="I8" s="7">
        <f t="shared" si="2"/>
        <v>60</v>
      </c>
      <c r="J8" s="7"/>
    </row>
    <row r="9" spans="1:10">
      <c r="A9" s="28" t="s">
        <v>346</v>
      </c>
      <c r="B9" s="32" t="s">
        <v>350</v>
      </c>
      <c r="C9" s="7">
        <v>0</v>
      </c>
      <c r="D9" s="7">
        <v>5</v>
      </c>
      <c r="E9" s="7">
        <v>40</v>
      </c>
      <c r="F9" s="7">
        <v>60</v>
      </c>
      <c r="G9" s="74">
        <f t="shared" si="0"/>
        <v>33.333333333333343</v>
      </c>
      <c r="H9" s="7">
        <f t="shared" si="1"/>
        <v>0</v>
      </c>
      <c r="I9" s="7">
        <f t="shared" si="2"/>
        <v>0</v>
      </c>
      <c r="J9" s="7"/>
    </row>
    <row r="10" spans="1:10">
      <c r="A10" s="28" t="s">
        <v>346</v>
      </c>
      <c r="B10" s="32" t="s">
        <v>351</v>
      </c>
      <c r="C10" s="7">
        <v>0</v>
      </c>
      <c r="D10" s="7">
        <v>5</v>
      </c>
      <c r="E10" s="7">
        <v>10</v>
      </c>
      <c r="F10" s="7">
        <v>20</v>
      </c>
      <c r="G10" s="74">
        <f t="shared" si="0"/>
        <v>50</v>
      </c>
      <c r="H10" s="7">
        <f t="shared" si="1"/>
        <v>0</v>
      </c>
      <c r="I10" s="7">
        <f t="shared" si="2"/>
        <v>0</v>
      </c>
      <c r="J10" s="7"/>
    </row>
    <row r="11" spans="1:10">
      <c r="A11" s="28" t="s">
        <v>346</v>
      </c>
      <c r="B11" s="32" t="s">
        <v>632</v>
      </c>
      <c r="C11" s="7">
        <v>2</v>
      </c>
      <c r="D11" s="7">
        <v>5</v>
      </c>
      <c r="E11" s="7">
        <v>20</v>
      </c>
      <c r="F11" s="7">
        <v>40</v>
      </c>
      <c r="G11" s="74">
        <f t="shared" si="0"/>
        <v>50</v>
      </c>
      <c r="H11" s="7">
        <f t="shared" si="1"/>
        <v>40</v>
      </c>
      <c r="I11" s="7">
        <f t="shared" si="2"/>
        <v>80</v>
      </c>
      <c r="J11" s="7"/>
    </row>
    <row r="12" spans="1:10">
      <c r="A12" s="28"/>
      <c r="B12" s="32"/>
      <c r="C12" s="7"/>
      <c r="D12" s="7"/>
      <c r="E12" s="7"/>
      <c r="F12" s="7"/>
      <c r="G12" s="74"/>
      <c r="H12" s="7"/>
      <c r="I12" s="7"/>
      <c r="J12" s="7"/>
    </row>
    <row r="13" spans="1:10">
      <c r="A13" s="28" t="s">
        <v>352</v>
      </c>
      <c r="B13" s="32" t="s">
        <v>353</v>
      </c>
      <c r="C13" s="7">
        <v>1</v>
      </c>
      <c r="D13" s="7">
        <v>5</v>
      </c>
      <c r="E13" s="7">
        <v>10</v>
      </c>
      <c r="F13" s="7">
        <v>15</v>
      </c>
      <c r="G13" s="74">
        <f t="shared" si="0"/>
        <v>33.333333333333343</v>
      </c>
      <c r="H13" s="7">
        <f t="shared" si="1"/>
        <v>10</v>
      </c>
      <c r="I13" s="7">
        <f t="shared" si="2"/>
        <v>15</v>
      </c>
      <c r="J13" s="7"/>
    </row>
    <row r="14" spans="1:10">
      <c r="A14" s="28" t="s">
        <v>352</v>
      </c>
      <c r="B14" s="32" t="s">
        <v>354</v>
      </c>
      <c r="C14" s="7">
        <v>6</v>
      </c>
      <c r="D14" s="7">
        <v>5</v>
      </c>
      <c r="E14" s="7">
        <v>30</v>
      </c>
      <c r="F14" s="7">
        <v>50</v>
      </c>
      <c r="G14" s="74">
        <f t="shared" si="0"/>
        <v>40</v>
      </c>
      <c r="H14" s="7">
        <f t="shared" si="1"/>
        <v>180</v>
      </c>
      <c r="I14" s="7">
        <f t="shared" si="2"/>
        <v>300</v>
      </c>
      <c r="J14" s="7"/>
    </row>
    <row r="15" spans="1:10">
      <c r="A15" s="28" t="s">
        <v>352</v>
      </c>
      <c r="B15" s="32" t="s">
        <v>619</v>
      </c>
      <c r="C15" s="7">
        <v>0</v>
      </c>
      <c r="D15" s="7">
        <v>5</v>
      </c>
      <c r="E15" s="7">
        <v>90</v>
      </c>
      <c r="F15" s="7">
        <v>300</v>
      </c>
      <c r="G15" s="74">
        <f t="shared" si="0"/>
        <v>70</v>
      </c>
      <c r="H15" s="7">
        <f t="shared" si="1"/>
        <v>0</v>
      </c>
      <c r="I15" s="7">
        <f t="shared" si="2"/>
        <v>0</v>
      </c>
      <c r="J15" s="16">
        <v>472</v>
      </c>
    </row>
    <row r="16" spans="1:10">
      <c r="A16" s="28" t="s">
        <v>352</v>
      </c>
      <c r="B16" s="32" t="s">
        <v>618</v>
      </c>
      <c r="C16" s="7">
        <v>0</v>
      </c>
      <c r="D16" s="7">
        <v>5</v>
      </c>
      <c r="E16" s="7">
        <v>90</v>
      </c>
      <c r="F16" s="7">
        <v>250</v>
      </c>
      <c r="G16" s="74">
        <f t="shared" si="0"/>
        <v>64</v>
      </c>
      <c r="H16" s="7">
        <f t="shared" si="1"/>
        <v>0</v>
      </c>
      <c r="I16" s="7">
        <f t="shared" si="2"/>
        <v>0</v>
      </c>
      <c r="J16" s="16">
        <v>472</v>
      </c>
    </row>
    <row r="17" spans="1:10">
      <c r="A17" s="28" t="s">
        <v>352</v>
      </c>
      <c r="B17" s="32" t="s">
        <v>620</v>
      </c>
      <c r="C17" s="7">
        <v>0</v>
      </c>
      <c r="D17" s="7">
        <v>5</v>
      </c>
      <c r="E17" s="7">
        <v>200</v>
      </c>
      <c r="F17" s="7">
        <v>350</v>
      </c>
      <c r="G17" s="74">
        <f t="shared" si="0"/>
        <v>42.857142857142861</v>
      </c>
      <c r="H17" s="7">
        <f t="shared" si="1"/>
        <v>0</v>
      </c>
      <c r="I17" s="7">
        <f t="shared" si="2"/>
        <v>0</v>
      </c>
      <c r="J17" s="7"/>
    </row>
    <row r="18" spans="1:10">
      <c r="A18" s="28" t="s">
        <v>352</v>
      </c>
      <c r="B18" s="32" t="s">
        <v>355</v>
      </c>
      <c r="C18" s="7">
        <v>6</v>
      </c>
      <c r="D18" s="7">
        <v>5</v>
      </c>
      <c r="E18" s="7">
        <v>60</v>
      </c>
      <c r="F18" s="7">
        <v>90</v>
      </c>
      <c r="G18" s="74">
        <f t="shared" si="0"/>
        <v>33.333333333333343</v>
      </c>
      <c r="H18" s="7">
        <f t="shared" si="1"/>
        <v>360</v>
      </c>
      <c r="I18" s="7">
        <f t="shared" si="2"/>
        <v>540</v>
      </c>
      <c r="J18" s="16">
        <v>644</v>
      </c>
    </row>
    <row r="19" spans="1:10">
      <c r="A19" s="28" t="s">
        <v>352</v>
      </c>
      <c r="B19" s="32" t="s">
        <v>356</v>
      </c>
      <c r="C19" s="7">
        <v>6</v>
      </c>
      <c r="D19" s="7">
        <v>5</v>
      </c>
      <c r="E19" s="7">
        <v>60</v>
      </c>
      <c r="F19" s="7">
        <v>90</v>
      </c>
      <c r="G19" s="74">
        <f t="shared" si="0"/>
        <v>33.333333333333343</v>
      </c>
      <c r="H19" s="7">
        <f t="shared" si="1"/>
        <v>360</v>
      </c>
      <c r="I19" s="7">
        <f t="shared" si="2"/>
        <v>540</v>
      </c>
      <c r="J19" s="16">
        <v>644</v>
      </c>
    </row>
    <row r="20" spans="1:10">
      <c r="A20" s="28" t="s">
        <v>352</v>
      </c>
      <c r="B20" s="32" t="s">
        <v>357</v>
      </c>
      <c r="C20" s="7">
        <v>6</v>
      </c>
      <c r="D20" s="7">
        <v>5</v>
      </c>
      <c r="E20" s="7">
        <v>60</v>
      </c>
      <c r="F20" s="7">
        <v>90</v>
      </c>
      <c r="G20" s="74">
        <f t="shared" si="0"/>
        <v>33.333333333333343</v>
      </c>
      <c r="H20" s="7">
        <f t="shared" si="1"/>
        <v>360</v>
      </c>
      <c r="I20" s="7">
        <f t="shared" si="2"/>
        <v>540</v>
      </c>
      <c r="J20" s="16">
        <v>644</v>
      </c>
    </row>
    <row r="21" spans="1:10">
      <c r="A21" s="28" t="s">
        <v>352</v>
      </c>
      <c r="B21" s="32" t="s">
        <v>358</v>
      </c>
      <c r="C21" s="7">
        <v>120</v>
      </c>
      <c r="D21" s="7">
        <v>5</v>
      </c>
      <c r="E21" s="7">
        <v>2</v>
      </c>
      <c r="F21" s="7">
        <v>5</v>
      </c>
      <c r="G21" s="74">
        <f t="shared" si="0"/>
        <v>60</v>
      </c>
      <c r="H21" s="7">
        <f t="shared" si="1"/>
        <v>240</v>
      </c>
      <c r="I21" s="7">
        <f t="shared" si="2"/>
        <v>600</v>
      </c>
      <c r="J21" s="16">
        <v>644</v>
      </c>
    </row>
    <row r="22" spans="1:10">
      <c r="A22" s="28" t="s">
        <v>352</v>
      </c>
      <c r="B22" s="32" t="s">
        <v>359</v>
      </c>
      <c r="C22" s="7">
        <v>100</v>
      </c>
      <c r="D22" s="7">
        <v>5</v>
      </c>
      <c r="E22" s="7">
        <v>2</v>
      </c>
      <c r="F22" s="7">
        <v>5</v>
      </c>
      <c r="G22" s="74">
        <f t="shared" si="0"/>
        <v>60</v>
      </c>
      <c r="H22" s="7">
        <f t="shared" si="1"/>
        <v>200</v>
      </c>
      <c r="I22" s="7">
        <f t="shared" si="2"/>
        <v>500</v>
      </c>
      <c r="J22" s="16">
        <v>644</v>
      </c>
    </row>
    <row r="23" spans="1:10">
      <c r="A23" s="28" t="s">
        <v>352</v>
      </c>
      <c r="B23" s="32" t="s">
        <v>389</v>
      </c>
      <c r="C23" s="7">
        <v>110</v>
      </c>
      <c r="D23" s="7">
        <v>10</v>
      </c>
      <c r="E23" s="7">
        <v>2.5</v>
      </c>
      <c r="F23" s="7">
        <v>10</v>
      </c>
      <c r="G23" s="74">
        <f t="shared" si="0"/>
        <v>75</v>
      </c>
      <c r="H23" s="7">
        <f t="shared" si="1"/>
        <v>275</v>
      </c>
      <c r="I23" s="7">
        <f t="shared" si="2"/>
        <v>1100</v>
      </c>
      <c r="J23" s="7">
        <v>414</v>
      </c>
    </row>
    <row r="24" spans="1:10">
      <c r="A24" s="28"/>
      <c r="B24" s="32"/>
      <c r="C24" s="7"/>
      <c r="D24" s="7"/>
      <c r="E24" s="7"/>
      <c r="F24" s="7"/>
      <c r="G24" s="74"/>
      <c r="H24" s="7"/>
      <c r="I24" s="7"/>
      <c r="J24" s="7"/>
    </row>
    <row r="25" spans="1:10">
      <c r="A25" s="28" t="s">
        <v>360</v>
      </c>
      <c r="B25" s="32" t="s">
        <v>361</v>
      </c>
      <c r="C25" s="7">
        <v>60</v>
      </c>
      <c r="D25" s="7">
        <v>50</v>
      </c>
      <c r="E25" s="7">
        <v>8.5</v>
      </c>
      <c r="F25" s="7">
        <v>20</v>
      </c>
      <c r="G25" s="74">
        <f t="shared" si="0"/>
        <v>57.5</v>
      </c>
      <c r="H25" s="7">
        <f t="shared" si="1"/>
        <v>510</v>
      </c>
      <c r="I25" s="7">
        <f t="shared" si="2"/>
        <v>1200</v>
      </c>
      <c r="J25" s="16">
        <v>50</v>
      </c>
    </row>
    <row r="26" spans="1:10">
      <c r="A26" s="28" t="s">
        <v>360</v>
      </c>
      <c r="B26" s="32" t="s">
        <v>362</v>
      </c>
      <c r="C26" s="7">
        <v>0</v>
      </c>
      <c r="D26" s="7">
        <v>5</v>
      </c>
      <c r="E26" s="7"/>
      <c r="F26" s="7"/>
      <c r="G26" s="74" t="e">
        <f t="shared" si="0"/>
        <v>#DIV/0!</v>
      </c>
      <c r="H26" s="7">
        <f t="shared" si="1"/>
        <v>0</v>
      </c>
      <c r="I26" s="7">
        <f t="shared" si="2"/>
        <v>0</v>
      </c>
      <c r="J26" s="7"/>
    </row>
    <row r="27" spans="1:10">
      <c r="A27" s="28" t="s">
        <v>360</v>
      </c>
      <c r="B27" s="32" t="s">
        <v>689</v>
      </c>
      <c r="C27" s="7">
        <v>0</v>
      </c>
      <c r="D27" s="7">
        <v>10</v>
      </c>
      <c r="E27" s="7"/>
      <c r="F27" s="7"/>
      <c r="G27" s="74" t="e">
        <f t="shared" si="0"/>
        <v>#DIV/0!</v>
      </c>
      <c r="H27" s="7">
        <f t="shared" si="1"/>
        <v>0</v>
      </c>
      <c r="I27" s="7">
        <f t="shared" si="2"/>
        <v>0</v>
      </c>
      <c r="J27" s="7">
        <v>644</v>
      </c>
    </row>
    <row r="28" spans="1:10">
      <c r="A28" s="28" t="s">
        <v>360</v>
      </c>
      <c r="B28" s="32" t="s">
        <v>363</v>
      </c>
      <c r="C28" s="7">
        <v>50</v>
      </c>
      <c r="D28" s="7">
        <v>10</v>
      </c>
      <c r="E28" s="7">
        <v>32</v>
      </c>
      <c r="F28" s="7">
        <v>70</v>
      </c>
      <c r="G28" s="74">
        <f t="shared" si="0"/>
        <v>54.285714285714285</v>
      </c>
      <c r="H28" s="7">
        <f t="shared" si="1"/>
        <v>1600</v>
      </c>
      <c r="I28" s="7">
        <f t="shared" si="2"/>
        <v>3500</v>
      </c>
      <c r="J28" s="16">
        <v>1</v>
      </c>
    </row>
    <row r="29" spans="1:10">
      <c r="A29" s="28" t="s">
        <v>360</v>
      </c>
      <c r="B29" s="32" t="s">
        <v>366</v>
      </c>
      <c r="C29" s="7">
        <v>3</v>
      </c>
      <c r="D29" s="7">
        <v>5</v>
      </c>
      <c r="E29" s="7">
        <v>330</v>
      </c>
      <c r="F29" s="7">
        <v>450</v>
      </c>
      <c r="G29" s="74">
        <f t="shared" si="0"/>
        <v>26.666666666666671</v>
      </c>
      <c r="H29" s="7">
        <f t="shared" si="1"/>
        <v>990</v>
      </c>
      <c r="I29" s="7">
        <f t="shared" si="2"/>
        <v>1350</v>
      </c>
      <c r="J29" s="16" t="s">
        <v>631</v>
      </c>
    </row>
    <row r="30" spans="1:10">
      <c r="A30" s="28" t="s">
        <v>360</v>
      </c>
      <c r="B30" s="32" t="s">
        <v>364</v>
      </c>
      <c r="C30" s="7">
        <v>0</v>
      </c>
      <c r="D30" s="7">
        <v>5</v>
      </c>
      <c r="E30" s="7">
        <v>25</v>
      </c>
      <c r="F30" s="7">
        <v>50</v>
      </c>
      <c r="G30" s="74">
        <f t="shared" si="0"/>
        <v>50</v>
      </c>
      <c r="H30" s="7">
        <f t="shared" si="1"/>
        <v>0</v>
      </c>
      <c r="I30" s="7">
        <f t="shared" si="2"/>
        <v>0</v>
      </c>
      <c r="J30" s="7"/>
    </row>
    <row r="31" spans="1:10">
      <c r="A31" s="28" t="s">
        <v>360</v>
      </c>
      <c r="B31" s="32" t="s">
        <v>365</v>
      </c>
      <c r="C31" s="7">
        <v>1</v>
      </c>
      <c r="D31" s="7">
        <v>5</v>
      </c>
      <c r="E31" s="7">
        <v>200</v>
      </c>
      <c r="F31" s="13">
        <v>280</v>
      </c>
      <c r="G31" s="74">
        <f t="shared" si="0"/>
        <v>28.571428571428569</v>
      </c>
      <c r="H31" s="7">
        <f t="shared" si="1"/>
        <v>200</v>
      </c>
      <c r="I31" s="7">
        <f t="shared" si="2"/>
        <v>280</v>
      </c>
      <c r="J31" s="16">
        <v>594</v>
      </c>
    </row>
    <row r="32" spans="1:10">
      <c r="A32" s="28" t="s">
        <v>367</v>
      </c>
      <c r="B32" s="32" t="s">
        <v>368</v>
      </c>
      <c r="C32" s="7">
        <v>4</v>
      </c>
      <c r="D32" s="7">
        <v>10</v>
      </c>
      <c r="E32" s="7">
        <v>60</v>
      </c>
      <c r="F32" s="7">
        <v>120</v>
      </c>
      <c r="G32" s="74">
        <f t="shared" si="0"/>
        <v>50</v>
      </c>
      <c r="H32" s="7">
        <f t="shared" si="1"/>
        <v>240</v>
      </c>
      <c r="I32" s="7">
        <f t="shared" si="2"/>
        <v>480</v>
      </c>
      <c r="J32" s="16">
        <v>594</v>
      </c>
    </row>
    <row r="33" spans="1:10">
      <c r="A33" s="28" t="s">
        <v>367</v>
      </c>
      <c r="B33" s="32" t="s">
        <v>369</v>
      </c>
      <c r="C33" s="7">
        <v>0</v>
      </c>
      <c r="D33" s="7">
        <v>10</v>
      </c>
      <c r="E33" s="7">
        <v>90</v>
      </c>
      <c r="F33" s="7">
        <v>150</v>
      </c>
      <c r="G33" s="74">
        <f t="shared" si="0"/>
        <v>40</v>
      </c>
      <c r="H33" s="7">
        <f t="shared" si="1"/>
        <v>0</v>
      </c>
      <c r="I33" s="7">
        <f t="shared" si="2"/>
        <v>0</v>
      </c>
      <c r="J33" s="16">
        <v>594</v>
      </c>
    </row>
    <row r="34" spans="1:10">
      <c r="A34" s="28" t="s">
        <v>367</v>
      </c>
      <c r="B34" s="32" t="s">
        <v>370</v>
      </c>
      <c r="C34" s="7">
        <v>0</v>
      </c>
      <c r="D34" s="7">
        <v>10</v>
      </c>
      <c r="E34" s="7"/>
      <c r="F34" s="7"/>
      <c r="G34" s="74" t="e">
        <f t="shared" si="0"/>
        <v>#DIV/0!</v>
      </c>
      <c r="H34" s="7">
        <f t="shared" si="1"/>
        <v>0</v>
      </c>
      <c r="I34" s="7">
        <f t="shared" si="2"/>
        <v>0</v>
      </c>
      <c r="J34" s="16">
        <v>594</v>
      </c>
    </row>
    <row r="35" spans="1:10">
      <c r="A35" s="28" t="s">
        <v>367</v>
      </c>
      <c r="B35" s="32" t="s">
        <v>371</v>
      </c>
      <c r="C35" s="7">
        <v>0</v>
      </c>
      <c r="D35" s="7">
        <v>10</v>
      </c>
      <c r="E35" s="7"/>
      <c r="F35" s="7"/>
      <c r="G35" s="74" t="e">
        <f t="shared" si="0"/>
        <v>#DIV/0!</v>
      </c>
      <c r="H35" s="7">
        <f t="shared" si="1"/>
        <v>0</v>
      </c>
      <c r="I35" s="7">
        <f t="shared" si="2"/>
        <v>0</v>
      </c>
      <c r="J35" s="16">
        <v>594</v>
      </c>
    </row>
    <row r="36" spans="1:10">
      <c r="A36" s="28" t="s">
        <v>367</v>
      </c>
      <c r="B36" s="32" t="s">
        <v>372</v>
      </c>
      <c r="C36" s="7">
        <v>0</v>
      </c>
      <c r="D36" s="7">
        <v>10</v>
      </c>
      <c r="E36" s="7"/>
      <c r="F36" s="7"/>
      <c r="G36" s="74" t="e">
        <f t="shared" si="0"/>
        <v>#DIV/0!</v>
      </c>
      <c r="H36" s="7">
        <f t="shared" si="1"/>
        <v>0</v>
      </c>
      <c r="I36" s="7">
        <f t="shared" si="2"/>
        <v>0</v>
      </c>
      <c r="J36" s="16">
        <v>594</v>
      </c>
    </row>
    <row r="37" spans="1:10">
      <c r="A37" s="28" t="s">
        <v>367</v>
      </c>
      <c r="B37" s="32" t="s">
        <v>373</v>
      </c>
      <c r="C37" s="7">
        <v>0</v>
      </c>
      <c r="D37" s="7">
        <v>10</v>
      </c>
      <c r="E37" s="7"/>
      <c r="F37" s="7"/>
      <c r="G37" s="74" t="e">
        <f t="shared" si="0"/>
        <v>#DIV/0!</v>
      </c>
      <c r="H37" s="7">
        <f t="shared" si="1"/>
        <v>0</v>
      </c>
      <c r="I37" s="7">
        <f t="shared" si="2"/>
        <v>0</v>
      </c>
      <c r="J37" s="16"/>
    </row>
    <row r="38" spans="1:10">
      <c r="A38" s="28" t="s">
        <v>367</v>
      </c>
      <c r="B38" s="32" t="s">
        <v>374</v>
      </c>
      <c r="C38" s="7">
        <v>0</v>
      </c>
      <c r="D38" s="7">
        <v>10</v>
      </c>
      <c r="E38" s="7"/>
      <c r="F38" s="7"/>
      <c r="G38" s="74" t="e">
        <f t="shared" si="0"/>
        <v>#DIV/0!</v>
      </c>
      <c r="H38" s="7">
        <f t="shared" si="1"/>
        <v>0</v>
      </c>
      <c r="I38" s="7">
        <f t="shared" si="2"/>
        <v>0</v>
      </c>
      <c r="J38" s="7"/>
    </row>
    <row r="39" spans="1:10">
      <c r="A39" s="28"/>
      <c r="B39" s="32"/>
      <c r="C39" s="7"/>
      <c r="D39" s="7"/>
      <c r="E39" s="7"/>
      <c r="F39" s="7"/>
      <c r="G39" s="74"/>
      <c r="H39" s="7"/>
      <c r="I39" s="7"/>
      <c r="J39" s="7"/>
    </row>
    <row r="40" spans="1:10">
      <c r="A40" s="28" t="s">
        <v>375</v>
      </c>
      <c r="B40" s="32" t="s">
        <v>376</v>
      </c>
      <c r="C40" s="7">
        <v>50</v>
      </c>
      <c r="D40" s="7">
        <v>10</v>
      </c>
      <c r="E40" s="7">
        <v>2</v>
      </c>
      <c r="F40" s="7">
        <v>10</v>
      </c>
      <c r="G40" s="74">
        <f t="shared" si="0"/>
        <v>80</v>
      </c>
      <c r="H40" s="7">
        <f t="shared" si="1"/>
        <v>100</v>
      </c>
      <c r="I40" s="7">
        <f t="shared" si="2"/>
        <v>500</v>
      </c>
      <c r="J40" s="16">
        <v>594</v>
      </c>
    </row>
    <row r="41" spans="1:10">
      <c r="A41" s="28" t="s">
        <v>375</v>
      </c>
      <c r="B41" s="32" t="s">
        <v>377</v>
      </c>
      <c r="C41" s="7">
        <v>50</v>
      </c>
      <c r="D41" s="7">
        <v>10</v>
      </c>
      <c r="E41" s="7">
        <v>2</v>
      </c>
      <c r="F41" s="7">
        <v>10</v>
      </c>
      <c r="G41" s="74">
        <f t="shared" si="0"/>
        <v>80</v>
      </c>
      <c r="H41" s="7">
        <f t="shared" si="1"/>
        <v>100</v>
      </c>
      <c r="I41" s="7">
        <f t="shared" si="2"/>
        <v>500</v>
      </c>
      <c r="J41" s="16">
        <v>594</v>
      </c>
    </row>
    <row r="42" spans="1:10">
      <c r="A42" s="28" t="s">
        <v>375</v>
      </c>
      <c r="B42" s="32" t="s">
        <v>378</v>
      </c>
      <c r="C42" s="7">
        <v>20</v>
      </c>
      <c r="D42" s="7">
        <v>10</v>
      </c>
      <c r="E42" s="7">
        <v>5</v>
      </c>
      <c r="F42" s="7">
        <v>10</v>
      </c>
      <c r="G42" s="74">
        <f t="shared" si="0"/>
        <v>50</v>
      </c>
      <c r="H42" s="7">
        <f t="shared" si="1"/>
        <v>100</v>
      </c>
      <c r="I42" s="7">
        <f t="shared" si="2"/>
        <v>200</v>
      </c>
      <c r="J42" s="16">
        <v>594</v>
      </c>
    </row>
    <row r="43" spans="1:10">
      <c r="A43" s="28" t="s">
        <v>375</v>
      </c>
      <c r="B43" s="32" t="s">
        <v>379</v>
      </c>
      <c r="C43" s="7">
        <v>30</v>
      </c>
      <c r="D43" s="7">
        <v>0</v>
      </c>
      <c r="E43" s="7">
        <v>5</v>
      </c>
      <c r="F43" s="7">
        <v>10</v>
      </c>
      <c r="G43" s="74">
        <f t="shared" si="0"/>
        <v>50</v>
      </c>
      <c r="H43" s="7">
        <f t="shared" si="1"/>
        <v>150</v>
      </c>
      <c r="I43" s="7">
        <f t="shared" si="2"/>
        <v>300</v>
      </c>
      <c r="J43" s="16">
        <v>594</v>
      </c>
    </row>
    <row r="44" spans="1:10">
      <c r="A44" s="28" t="s">
        <v>375</v>
      </c>
      <c r="B44" s="32" t="s">
        <v>380</v>
      </c>
      <c r="C44" s="7">
        <v>55</v>
      </c>
      <c r="D44" s="7">
        <v>50</v>
      </c>
      <c r="E44" s="7">
        <v>1.6</v>
      </c>
      <c r="F44" s="7">
        <v>10</v>
      </c>
      <c r="G44" s="74">
        <f t="shared" si="0"/>
        <v>84</v>
      </c>
      <c r="H44" s="7">
        <f t="shared" si="1"/>
        <v>88</v>
      </c>
      <c r="I44" s="7">
        <f t="shared" si="2"/>
        <v>550</v>
      </c>
      <c r="J44" s="16">
        <v>414</v>
      </c>
    </row>
    <row r="45" spans="1:10">
      <c r="A45" s="28" t="s">
        <v>375</v>
      </c>
      <c r="B45" s="32" t="s">
        <v>381</v>
      </c>
      <c r="C45" s="7">
        <v>12</v>
      </c>
      <c r="D45" s="7">
        <v>10</v>
      </c>
      <c r="E45" s="7">
        <v>3</v>
      </c>
      <c r="F45" s="7">
        <v>10</v>
      </c>
      <c r="G45" s="74">
        <f t="shared" si="0"/>
        <v>70</v>
      </c>
      <c r="H45" s="7">
        <f t="shared" si="1"/>
        <v>36</v>
      </c>
      <c r="I45" s="7">
        <f t="shared" si="2"/>
        <v>120</v>
      </c>
      <c r="J45" s="16">
        <v>594</v>
      </c>
    </row>
    <row r="46" spans="1:10">
      <c r="A46" s="28"/>
      <c r="B46" s="32"/>
      <c r="C46" s="7"/>
      <c r="D46" s="7"/>
      <c r="E46" s="7"/>
      <c r="F46" s="7"/>
      <c r="G46" s="74"/>
      <c r="H46" s="7"/>
      <c r="I46" s="7"/>
      <c r="J46" s="7"/>
    </row>
    <row r="47" spans="1:10">
      <c r="A47" s="28" t="s">
        <v>382</v>
      </c>
      <c r="B47" s="32" t="s">
        <v>383</v>
      </c>
      <c r="C47" s="7">
        <v>15</v>
      </c>
      <c r="D47" s="7">
        <v>10</v>
      </c>
      <c r="E47" s="7">
        <v>15</v>
      </c>
      <c r="F47" s="7">
        <v>30</v>
      </c>
      <c r="G47" s="74">
        <f t="shared" si="0"/>
        <v>50</v>
      </c>
      <c r="H47" s="7">
        <f t="shared" si="1"/>
        <v>225</v>
      </c>
      <c r="I47" s="7">
        <f t="shared" si="2"/>
        <v>450</v>
      </c>
      <c r="J47" s="16">
        <v>594</v>
      </c>
    </row>
    <row r="48" spans="1:10">
      <c r="A48" s="28" t="s">
        <v>382</v>
      </c>
      <c r="B48" s="32" t="s">
        <v>621</v>
      </c>
      <c r="C48" s="7">
        <v>0</v>
      </c>
      <c r="D48" s="7">
        <v>10</v>
      </c>
      <c r="E48" s="7">
        <v>6.5</v>
      </c>
      <c r="F48" s="7">
        <v>10</v>
      </c>
      <c r="G48" s="74">
        <f t="shared" si="0"/>
        <v>35</v>
      </c>
      <c r="H48" s="7">
        <f t="shared" si="1"/>
        <v>0</v>
      </c>
      <c r="I48" s="7">
        <f t="shared" si="2"/>
        <v>0</v>
      </c>
      <c r="J48" s="16">
        <v>414</v>
      </c>
    </row>
    <row r="49" spans="1:10">
      <c r="A49" s="28" t="s">
        <v>382</v>
      </c>
      <c r="B49" s="32" t="s">
        <v>622</v>
      </c>
      <c r="C49" s="7">
        <v>40</v>
      </c>
      <c r="D49" s="7">
        <v>10</v>
      </c>
      <c r="E49" s="7">
        <v>8</v>
      </c>
      <c r="F49" s="7">
        <v>15</v>
      </c>
      <c r="G49" s="74">
        <f t="shared" si="0"/>
        <v>46.666666666666664</v>
      </c>
      <c r="H49" s="7">
        <f t="shared" si="1"/>
        <v>320</v>
      </c>
      <c r="I49" s="7">
        <f t="shared" si="2"/>
        <v>600</v>
      </c>
      <c r="J49" s="16">
        <v>414</v>
      </c>
    </row>
    <row r="50" spans="1:10">
      <c r="A50" s="28" t="s">
        <v>382</v>
      </c>
      <c r="B50" s="32" t="s">
        <v>384</v>
      </c>
      <c r="C50" s="7">
        <v>48</v>
      </c>
      <c r="D50" s="7">
        <v>10</v>
      </c>
      <c r="E50" s="7">
        <v>2</v>
      </c>
      <c r="F50" s="7">
        <v>5</v>
      </c>
      <c r="G50" s="74">
        <f t="shared" si="0"/>
        <v>60</v>
      </c>
      <c r="H50" s="7">
        <f t="shared" si="1"/>
        <v>96</v>
      </c>
      <c r="I50" s="7">
        <f t="shared" si="2"/>
        <v>240</v>
      </c>
      <c r="J50" s="7">
        <v>644</v>
      </c>
    </row>
    <row r="51" spans="1:10">
      <c r="A51" s="28" t="s">
        <v>382</v>
      </c>
      <c r="B51" s="32" t="s">
        <v>387</v>
      </c>
      <c r="C51" s="7">
        <v>80</v>
      </c>
      <c r="D51" s="7">
        <v>20</v>
      </c>
      <c r="E51" s="7">
        <v>2</v>
      </c>
      <c r="F51" s="7">
        <v>5</v>
      </c>
      <c r="G51" s="74">
        <f t="shared" si="0"/>
        <v>60</v>
      </c>
      <c r="H51" s="7">
        <f t="shared" si="1"/>
        <v>160</v>
      </c>
      <c r="I51" s="7">
        <f t="shared" si="2"/>
        <v>400</v>
      </c>
      <c r="J51" s="16">
        <v>414</v>
      </c>
    </row>
    <row r="52" spans="1:10">
      <c r="A52" s="28" t="s">
        <v>382</v>
      </c>
      <c r="B52" s="32" t="s">
        <v>388</v>
      </c>
      <c r="C52" s="7">
        <v>10</v>
      </c>
      <c r="D52" s="7">
        <v>20</v>
      </c>
      <c r="E52" s="7">
        <v>2</v>
      </c>
      <c r="F52" s="7">
        <v>5</v>
      </c>
      <c r="G52" s="74">
        <f t="shared" si="0"/>
        <v>60</v>
      </c>
      <c r="H52" s="7">
        <f t="shared" si="1"/>
        <v>20</v>
      </c>
      <c r="I52" s="7">
        <f t="shared" si="2"/>
        <v>50</v>
      </c>
      <c r="J52" s="16">
        <v>414</v>
      </c>
    </row>
    <row r="53" spans="1:10">
      <c r="A53" s="28" t="s">
        <v>382</v>
      </c>
      <c r="B53" s="32" t="s">
        <v>385</v>
      </c>
      <c r="C53" s="7">
        <v>40</v>
      </c>
      <c r="D53" s="7">
        <v>20</v>
      </c>
      <c r="E53" s="7">
        <v>3</v>
      </c>
      <c r="F53" s="7">
        <v>10</v>
      </c>
      <c r="G53" s="74">
        <f t="shared" si="0"/>
        <v>70</v>
      </c>
      <c r="H53" s="7">
        <f t="shared" si="1"/>
        <v>120</v>
      </c>
      <c r="I53" s="7">
        <f t="shared" si="2"/>
        <v>400</v>
      </c>
      <c r="J53" s="16">
        <v>414</v>
      </c>
    </row>
    <row r="54" spans="1:10">
      <c r="A54" s="28" t="s">
        <v>382</v>
      </c>
      <c r="B54" s="32" t="s">
        <v>386</v>
      </c>
      <c r="C54" s="7">
        <v>90</v>
      </c>
      <c r="D54" s="7">
        <v>20</v>
      </c>
      <c r="E54" s="7">
        <v>2</v>
      </c>
      <c r="F54" s="7">
        <v>5</v>
      </c>
      <c r="G54" s="74">
        <f t="shared" si="0"/>
        <v>60</v>
      </c>
      <c r="H54" s="7">
        <f t="shared" si="1"/>
        <v>180</v>
      </c>
      <c r="I54" s="7">
        <f t="shared" si="2"/>
        <v>450</v>
      </c>
      <c r="J54" s="16">
        <v>414</v>
      </c>
    </row>
    <row r="55" spans="1:10">
      <c r="A55" s="28" t="s">
        <v>382</v>
      </c>
      <c r="B55" s="32" t="s">
        <v>690</v>
      </c>
      <c r="C55" s="7">
        <v>8</v>
      </c>
      <c r="D55" s="7">
        <v>10</v>
      </c>
      <c r="E55" s="7">
        <v>17</v>
      </c>
      <c r="F55" s="7">
        <v>30</v>
      </c>
      <c r="G55" s="74">
        <f t="shared" si="0"/>
        <v>43.333333333333336</v>
      </c>
      <c r="H55" s="7">
        <f t="shared" si="1"/>
        <v>136</v>
      </c>
      <c r="I55" s="7">
        <f t="shared" si="2"/>
        <v>240</v>
      </c>
      <c r="J55" s="16">
        <v>414</v>
      </c>
    </row>
    <row r="56" spans="1:10">
      <c r="A56" s="28"/>
      <c r="B56" s="32"/>
      <c r="C56" s="7"/>
      <c r="D56" s="7"/>
      <c r="E56" s="7"/>
      <c r="F56" s="7"/>
      <c r="G56" s="74"/>
      <c r="H56" s="7"/>
      <c r="I56" s="7"/>
      <c r="J56" s="7"/>
    </row>
    <row r="57" spans="1:10">
      <c r="A57" s="42" t="s">
        <v>543</v>
      </c>
      <c r="B57" s="32" t="s">
        <v>390</v>
      </c>
      <c r="C57" s="7">
        <v>3</v>
      </c>
      <c r="D57" s="7">
        <v>10</v>
      </c>
      <c r="E57" s="7">
        <v>105</v>
      </c>
      <c r="F57" s="7">
        <v>140</v>
      </c>
      <c r="G57" s="74">
        <f t="shared" si="0"/>
        <v>25</v>
      </c>
      <c r="H57" s="7">
        <f t="shared" si="1"/>
        <v>315</v>
      </c>
      <c r="I57" s="7">
        <f t="shared" si="2"/>
        <v>420</v>
      </c>
      <c r="J57" s="7">
        <v>50</v>
      </c>
    </row>
    <row r="58" spans="1:10">
      <c r="A58" s="42" t="s">
        <v>543</v>
      </c>
      <c r="B58" s="32" t="s">
        <v>391</v>
      </c>
      <c r="C58" s="7">
        <v>50</v>
      </c>
      <c r="D58" s="7">
        <v>0</v>
      </c>
      <c r="E58" s="7">
        <v>5</v>
      </c>
      <c r="F58" s="7">
        <v>10</v>
      </c>
      <c r="G58" s="74">
        <f t="shared" si="0"/>
        <v>50</v>
      </c>
      <c r="H58" s="7">
        <f t="shared" si="1"/>
        <v>250</v>
      </c>
      <c r="I58" s="7">
        <f t="shared" si="2"/>
        <v>500</v>
      </c>
      <c r="J58" s="16">
        <v>594</v>
      </c>
    </row>
    <row r="59" spans="1:10">
      <c r="A59" s="42" t="s">
        <v>543</v>
      </c>
      <c r="B59" s="32" t="s">
        <v>392</v>
      </c>
      <c r="C59" s="7">
        <v>50</v>
      </c>
      <c r="D59" s="7">
        <v>0</v>
      </c>
      <c r="E59" s="7">
        <v>10</v>
      </c>
      <c r="F59" s="7">
        <v>20</v>
      </c>
      <c r="G59" s="74">
        <f t="shared" si="0"/>
        <v>50</v>
      </c>
      <c r="H59" s="7">
        <f t="shared" si="1"/>
        <v>500</v>
      </c>
      <c r="I59" s="7">
        <f t="shared" si="2"/>
        <v>1000</v>
      </c>
      <c r="J59" s="16">
        <v>594</v>
      </c>
    </row>
    <row r="60" spans="1:10">
      <c r="A60" s="42" t="s">
        <v>543</v>
      </c>
      <c r="B60" s="32" t="s">
        <v>261</v>
      </c>
      <c r="C60" s="7">
        <v>40</v>
      </c>
      <c r="D60" s="7">
        <v>20</v>
      </c>
      <c r="E60" s="7">
        <v>6</v>
      </c>
      <c r="F60" s="7">
        <v>10</v>
      </c>
      <c r="G60" s="74">
        <f t="shared" si="0"/>
        <v>40</v>
      </c>
      <c r="H60" s="7">
        <f t="shared" si="1"/>
        <v>240</v>
      </c>
      <c r="I60" s="7">
        <f t="shared" si="2"/>
        <v>400</v>
      </c>
      <c r="J60" s="16">
        <v>594</v>
      </c>
    </row>
    <row r="61" spans="1:10">
      <c r="A61" s="42" t="s">
        <v>543</v>
      </c>
      <c r="B61" s="32" t="s">
        <v>403</v>
      </c>
      <c r="C61" s="7">
        <v>6</v>
      </c>
      <c r="D61" s="7">
        <v>10</v>
      </c>
      <c r="E61" s="7">
        <v>10</v>
      </c>
      <c r="F61" s="7">
        <v>20</v>
      </c>
      <c r="G61" s="74">
        <f t="shared" si="0"/>
        <v>50</v>
      </c>
      <c r="H61" s="7">
        <f t="shared" si="1"/>
        <v>60</v>
      </c>
      <c r="I61" s="7">
        <f t="shared" si="2"/>
        <v>120</v>
      </c>
      <c r="J61" s="16">
        <v>594</v>
      </c>
    </row>
    <row r="62" spans="1:10">
      <c r="A62" s="42" t="s">
        <v>543</v>
      </c>
      <c r="B62" s="32" t="s">
        <v>404</v>
      </c>
      <c r="C62" s="7">
        <v>0</v>
      </c>
      <c r="D62" s="7">
        <v>50</v>
      </c>
      <c r="E62" s="7">
        <v>5</v>
      </c>
      <c r="F62" s="7">
        <v>10</v>
      </c>
      <c r="G62" s="74">
        <f t="shared" si="0"/>
        <v>50</v>
      </c>
      <c r="H62" s="7">
        <f t="shared" si="1"/>
        <v>0</v>
      </c>
      <c r="I62" s="7">
        <f t="shared" si="2"/>
        <v>0</v>
      </c>
      <c r="J62" s="16">
        <v>644</v>
      </c>
    </row>
    <row r="63" spans="1:10">
      <c r="A63" s="42" t="s">
        <v>543</v>
      </c>
      <c r="B63" s="32" t="s">
        <v>616</v>
      </c>
      <c r="C63" s="7">
        <v>4</v>
      </c>
      <c r="D63" s="7">
        <v>10</v>
      </c>
      <c r="E63" s="7">
        <v>190</v>
      </c>
      <c r="F63" s="7">
        <v>300</v>
      </c>
      <c r="G63" s="74">
        <f t="shared" si="0"/>
        <v>36.666666666666671</v>
      </c>
      <c r="H63" s="7">
        <f t="shared" si="1"/>
        <v>760</v>
      </c>
      <c r="I63" s="7">
        <f t="shared" si="2"/>
        <v>1200</v>
      </c>
      <c r="J63" s="7" t="s">
        <v>691</v>
      </c>
    </row>
    <row r="64" spans="1:10">
      <c r="A64" s="42" t="s">
        <v>543</v>
      </c>
      <c r="B64" s="32" t="s">
        <v>617</v>
      </c>
      <c r="C64" s="7">
        <v>0</v>
      </c>
      <c r="D64" s="7">
        <v>5</v>
      </c>
      <c r="E64" s="7"/>
      <c r="F64" s="7"/>
      <c r="G64" s="74" t="e">
        <f t="shared" si="0"/>
        <v>#DIV/0!</v>
      </c>
      <c r="H64" s="7">
        <f t="shared" si="1"/>
        <v>0</v>
      </c>
      <c r="I64" s="7">
        <f t="shared" si="2"/>
        <v>0</v>
      </c>
      <c r="J64" s="7">
        <v>594</v>
      </c>
    </row>
    <row r="65" spans="1:10">
      <c r="A65" s="42" t="s">
        <v>543</v>
      </c>
      <c r="B65" s="32" t="s">
        <v>405</v>
      </c>
      <c r="C65" s="7">
        <v>35</v>
      </c>
      <c r="D65" s="7">
        <v>10</v>
      </c>
      <c r="E65" s="7">
        <v>4</v>
      </c>
      <c r="F65" s="7">
        <v>10</v>
      </c>
      <c r="G65" s="74">
        <f t="shared" si="0"/>
        <v>60</v>
      </c>
      <c r="H65" s="7">
        <f t="shared" si="1"/>
        <v>140</v>
      </c>
      <c r="I65" s="7">
        <f t="shared" si="2"/>
        <v>350</v>
      </c>
      <c r="J65" s="16">
        <v>560</v>
      </c>
    </row>
    <row r="66" spans="1:10">
      <c r="A66" s="42" t="s">
        <v>543</v>
      </c>
      <c r="B66" s="32" t="s">
        <v>406</v>
      </c>
      <c r="C66" s="7">
        <v>40</v>
      </c>
      <c r="D66" s="7">
        <v>10</v>
      </c>
      <c r="E66" s="7">
        <v>4</v>
      </c>
      <c r="F66" s="7">
        <v>10</v>
      </c>
      <c r="G66" s="74">
        <f t="shared" si="0"/>
        <v>60</v>
      </c>
      <c r="H66" s="7">
        <f t="shared" si="1"/>
        <v>160</v>
      </c>
      <c r="I66" s="7">
        <f t="shared" si="2"/>
        <v>400</v>
      </c>
      <c r="J66" s="16">
        <v>560</v>
      </c>
    </row>
    <row r="67" spans="1:10">
      <c r="A67" s="42" t="s">
        <v>543</v>
      </c>
      <c r="B67" s="32" t="s">
        <v>407</v>
      </c>
      <c r="C67" s="7">
        <v>0</v>
      </c>
      <c r="D67" s="7">
        <v>10</v>
      </c>
      <c r="E67" s="7">
        <v>3</v>
      </c>
      <c r="F67" s="7">
        <v>10</v>
      </c>
      <c r="G67" s="74">
        <f t="shared" si="0"/>
        <v>70</v>
      </c>
      <c r="H67" s="7">
        <f t="shared" si="1"/>
        <v>0</v>
      </c>
      <c r="I67" s="7">
        <f t="shared" si="2"/>
        <v>0</v>
      </c>
      <c r="J67" s="7"/>
    </row>
    <row r="68" spans="1:10">
      <c r="A68" s="42" t="s">
        <v>543</v>
      </c>
      <c r="B68" s="32" t="s">
        <v>408</v>
      </c>
      <c r="C68" s="7">
        <v>9</v>
      </c>
      <c r="D68" s="7">
        <v>10</v>
      </c>
      <c r="E68" s="7">
        <v>10</v>
      </c>
      <c r="F68" s="7">
        <v>20</v>
      </c>
      <c r="G68" s="74">
        <f t="shared" ref="G68:G133" si="3">100-((E68/F68)*100)</f>
        <v>50</v>
      </c>
      <c r="H68" s="7">
        <f t="shared" si="1"/>
        <v>90</v>
      </c>
      <c r="I68" s="7">
        <f t="shared" si="2"/>
        <v>180</v>
      </c>
      <c r="J68" s="7"/>
    </row>
    <row r="69" spans="1:10">
      <c r="A69" s="42" t="s">
        <v>543</v>
      </c>
      <c r="B69" s="32" t="s">
        <v>409</v>
      </c>
      <c r="C69" s="7">
        <v>18</v>
      </c>
      <c r="D69" s="7">
        <v>20</v>
      </c>
      <c r="E69" s="7">
        <v>50</v>
      </c>
      <c r="F69" s="7">
        <v>70</v>
      </c>
      <c r="G69" s="74">
        <f t="shared" si="3"/>
        <v>28.571428571428569</v>
      </c>
      <c r="H69" s="7">
        <f t="shared" si="1"/>
        <v>900</v>
      </c>
      <c r="I69" s="7">
        <f t="shared" si="2"/>
        <v>1260</v>
      </c>
      <c r="J69" s="16">
        <v>644</v>
      </c>
    </row>
    <row r="70" spans="1:10">
      <c r="A70" s="42" t="s">
        <v>543</v>
      </c>
      <c r="B70" s="32" t="s">
        <v>410</v>
      </c>
      <c r="C70" s="7">
        <v>4</v>
      </c>
      <c r="D70" s="7">
        <v>10</v>
      </c>
      <c r="E70" s="7">
        <v>30</v>
      </c>
      <c r="F70" s="7">
        <v>40</v>
      </c>
      <c r="G70" s="74">
        <f t="shared" si="3"/>
        <v>25</v>
      </c>
      <c r="H70" s="7">
        <f t="shared" si="1"/>
        <v>120</v>
      </c>
      <c r="I70" s="7">
        <f t="shared" si="2"/>
        <v>160</v>
      </c>
      <c r="J70" s="16">
        <v>594</v>
      </c>
    </row>
    <row r="71" spans="1:10">
      <c r="A71" s="42" t="s">
        <v>543</v>
      </c>
      <c r="B71" s="32" t="s">
        <v>411</v>
      </c>
      <c r="C71" s="7">
        <v>0</v>
      </c>
      <c r="D71" s="7">
        <v>10</v>
      </c>
      <c r="E71" s="7">
        <v>5</v>
      </c>
      <c r="F71" s="7">
        <v>10</v>
      </c>
      <c r="G71" s="74">
        <f t="shared" si="3"/>
        <v>50</v>
      </c>
      <c r="H71" s="7">
        <f t="shared" si="1"/>
        <v>0</v>
      </c>
      <c r="I71" s="7">
        <f t="shared" si="2"/>
        <v>0</v>
      </c>
      <c r="J71" s="16">
        <v>472</v>
      </c>
    </row>
    <row r="72" spans="1:10">
      <c r="A72" s="42" t="s">
        <v>543</v>
      </c>
      <c r="B72" s="32" t="s">
        <v>412</v>
      </c>
      <c r="C72" s="7">
        <v>150</v>
      </c>
      <c r="D72" s="7">
        <v>100</v>
      </c>
      <c r="E72" s="7">
        <v>2</v>
      </c>
      <c r="F72" s="7">
        <v>5</v>
      </c>
      <c r="G72" s="74">
        <f t="shared" si="3"/>
        <v>60</v>
      </c>
      <c r="H72" s="7">
        <f t="shared" si="1"/>
        <v>300</v>
      </c>
      <c r="I72" s="7">
        <f t="shared" si="2"/>
        <v>750</v>
      </c>
      <c r="J72" s="16">
        <v>472</v>
      </c>
    </row>
    <row r="73" spans="1:10">
      <c r="A73" s="42" t="s">
        <v>543</v>
      </c>
      <c r="B73" s="32" t="s">
        <v>413</v>
      </c>
      <c r="C73" s="7">
        <v>20</v>
      </c>
      <c r="D73" s="7">
        <v>10</v>
      </c>
      <c r="E73" s="7">
        <v>2</v>
      </c>
      <c r="F73" s="7">
        <v>10</v>
      </c>
      <c r="G73" s="74">
        <f t="shared" si="3"/>
        <v>80</v>
      </c>
      <c r="H73" s="7">
        <f t="shared" si="1"/>
        <v>40</v>
      </c>
      <c r="I73" s="7">
        <f t="shared" si="2"/>
        <v>200</v>
      </c>
      <c r="J73" s="16">
        <v>472</v>
      </c>
    </row>
    <row r="74" spans="1:10">
      <c r="A74" s="42" t="s">
        <v>543</v>
      </c>
      <c r="B74" s="32" t="s">
        <v>414</v>
      </c>
      <c r="C74" s="7">
        <v>20</v>
      </c>
      <c r="D74" s="7">
        <v>10</v>
      </c>
      <c r="E74" s="7">
        <v>5</v>
      </c>
      <c r="F74" s="7">
        <v>20</v>
      </c>
      <c r="G74" s="74">
        <f t="shared" si="3"/>
        <v>75</v>
      </c>
      <c r="H74" s="7">
        <f t="shared" ref="H74:H141" si="4">+E74*C74</f>
        <v>100</v>
      </c>
      <c r="I74" s="7">
        <f t="shared" ref="I74:I141" si="5">+F74*C74</f>
        <v>400</v>
      </c>
      <c r="J74" s="16">
        <v>472</v>
      </c>
    </row>
    <row r="75" spans="1:10">
      <c r="A75" s="42" t="s">
        <v>543</v>
      </c>
      <c r="B75" s="32" t="s">
        <v>415</v>
      </c>
      <c r="C75" s="7">
        <v>4</v>
      </c>
      <c r="D75" s="7">
        <v>10</v>
      </c>
      <c r="E75" s="7">
        <v>5</v>
      </c>
      <c r="F75" s="7">
        <v>10</v>
      </c>
      <c r="G75" s="74">
        <f t="shared" si="3"/>
        <v>50</v>
      </c>
      <c r="H75" s="7">
        <f t="shared" si="4"/>
        <v>20</v>
      </c>
      <c r="I75" s="7">
        <f t="shared" si="5"/>
        <v>40</v>
      </c>
      <c r="J75" s="16">
        <v>472</v>
      </c>
    </row>
    <row r="76" spans="1:10">
      <c r="A76" s="42" t="s">
        <v>543</v>
      </c>
      <c r="B76" s="32" t="s">
        <v>440</v>
      </c>
      <c r="C76" s="7">
        <v>45</v>
      </c>
      <c r="D76" s="7">
        <v>10</v>
      </c>
      <c r="E76" s="7">
        <v>10</v>
      </c>
      <c r="F76" s="7">
        <v>20</v>
      </c>
      <c r="G76" s="74">
        <f t="shared" si="3"/>
        <v>50</v>
      </c>
      <c r="H76" s="7">
        <f t="shared" si="4"/>
        <v>450</v>
      </c>
      <c r="I76" s="7">
        <f t="shared" si="5"/>
        <v>900</v>
      </c>
      <c r="J76" s="16">
        <v>472</v>
      </c>
    </row>
    <row r="77" spans="1:10">
      <c r="A77" s="42" t="s">
        <v>543</v>
      </c>
      <c r="B77" s="32" t="s">
        <v>441</v>
      </c>
      <c r="C77" s="7">
        <v>40</v>
      </c>
      <c r="D77" s="7">
        <v>20</v>
      </c>
      <c r="E77" s="7">
        <v>2</v>
      </c>
      <c r="F77" s="7">
        <v>10</v>
      </c>
      <c r="G77" s="74">
        <f t="shared" si="3"/>
        <v>80</v>
      </c>
      <c r="H77" s="7">
        <f t="shared" si="4"/>
        <v>80</v>
      </c>
      <c r="I77" s="7">
        <f t="shared" si="5"/>
        <v>400</v>
      </c>
      <c r="J77" s="16">
        <v>560</v>
      </c>
    </row>
    <row r="78" spans="1:10">
      <c r="A78" s="42" t="s">
        <v>543</v>
      </c>
      <c r="B78" s="32" t="s">
        <v>442</v>
      </c>
      <c r="C78" s="7">
        <v>40</v>
      </c>
      <c r="D78" s="7">
        <v>20</v>
      </c>
      <c r="E78" s="7">
        <v>2</v>
      </c>
      <c r="F78" s="7">
        <v>10</v>
      </c>
      <c r="G78" s="74">
        <f t="shared" si="3"/>
        <v>80</v>
      </c>
      <c r="H78" s="7">
        <f t="shared" si="4"/>
        <v>80</v>
      </c>
      <c r="I78" s="7">
        <f t="shared" si="5"/>
        <v>400</v>
      </c>
      <c r="J78" s="16">
        <v>560</v>
      </c>
    </row>
    <row r="79" spans="1:10">
      <c r="A79" s="42" t="s">
        <v>543</v>
      </c>
      <c r="B79" s="32" t="s">
        <v>467</v>
      </c>
      <c r="C79" s="7">
        <v>20</v>
      </c>
      <c r="D79" s="7">
        <v>0</v>
      </c>
      <c r="E79" s="7"/>
      <c r="F79" s="7"/>
      <c r="G79" s="74" t="e">
        <f t="shared" si="3"/>
        <v>#DIV/0!</v>
      </c>
      <c r="H79" s="7">
        <f t="shared" si="4"/>
        <v>0</v>
      </c>
      <c r="I79" s="7">
        <f t="shared" si="5"/>
        <v>0</v>
      </c>
      <c r="J79" s="7"/>
    </row>
    <row r="80" spans="1:10">
      <c r="A80" s="42" t="s">
        <v>543</v>
      </c>
      <c r="B80" s="32" t="s">
        <v>468</v>
      </c>
      <c r="C80" s="7">
        <v>4</v>
      </c>
      <c r="D80" s="7">
        <v>0</v>
      </c>
      <c r="E80" s="7">
        <v>10</v>
      </c>
      <c r="F80" s="7">
        <v>20</v>
      </c>
      <c r="G80" s="74">
        <f t="shared" si="3"/>
        <v>50</v>
      </c>
      <c r="H80" s="7">
        <f t="shared" si="4"/>
        <v>40</v>
      </c>
      <c r="I80" s="7">
        <f t="shared" si="5"/>
        <v>80</v>
      </c>
      <c r="J80" s="7"/>
    </row>
    <row r="81" spans="1:10">
      <c r="A81" s="42" t="s">
        <v>543</v>
      </c>
      <c r="B81" s="32" t="s">
        <v>485</v>
      </c>
      <c r="C81" s="7">
        <v>40</v>
      </c>
      <c r="D81" s="7">
        <v>10</v>
      </c>
      <c r="E81" s="7">
        <v>15</v>
      </c>
      <c r="F81" s="7">
        <v>40</v>
      </c>
      <c r="G81" s="74">
        <f t="shared" si="3"/>
        <v>62.5</v>
      </c>
      <c r="H81" s="7">
        <f t="shared" si="4"/>
        <v>600</v>
      </c>
      <c r="I81" s="7">
        <f t="shared" si="5"/>
        <v>1600</v>
      </c>
      <c r="J81" s="7"/>
    </row>
    <row r="82" spans="1:10">
      <c r="A82" s="42" t="s">
        <v>543</v>
      </c>
      <c r="B82" s="32" t="s">
        <v>488</v>
      </c>
      <c r="C82" s="7">
        <v>15</v>
      </c>
      <c r="D82" s="7">
        <v>10</v>
      </c>
      <c r="E82" s="7">
        <v>7</v>
      </c>
      <c r="F82" s="7">
        <v>20</v>
      </c>
      <c r="G82" s="74">
        <f t="shared" si="3"/>
        <v>65</v>
      </c>
      <c r="H82" s="7">
        <f t="shared" si="4"/>
        <v>105</v>
      </c>
      <c r="I82" s="7">
        <f t="shared" si="5"/>
        <v>300</v>
      </c>
      <c r="J82" s="16">
        <v>594</v>
      </c>
    </row>
    <row r="83" spans="1:10">
      <c r="A83" s="42" t="s">
        <v>543</v>
      </c>
      <c r="B83" s="33" t="s">
        <v>464</v>
      </c>
      <c r="C83" s="7">
        <v>20</v>
      </c>
      <c r="D83" s="7">
        <v>100</v>
      </c>
      <c r="E83" s="7">
        <v>0.5</v>
      </c>
      <c r="F83" s="7">
        <v>1</v>
      </c>
      <c r="G83" s="74">
        <f t="shared" si="3"/>
        <v>50</v>
      </c>
      <c r="H83" s="7">
        <f t="shared" si="4"/>
        <v>10</v>
      </c>
      <c r="I83" s="7">
        <f t="shared" si="5"/>
        <v>20</v>
      </c>
      <c r="J83" s="7"/>
    </row>
    <row r="84" spans="1:10">
      <c r="A84" s="42" t="s">
        <v>543</v>
      </c>
      <c r="B84" s="32" t="s">
        <v>824</v>
      </c>
      <c r="C84" s="7">
        <v>30</v>
      </c>
      <c r="D84" s="7">
        <v>10</v>
      </c>
      <c r="E84" s="7">
        <v>15</v>
      </c>
      <c r="F84" s="7">
        <v>30</v>
      </c>
      <c r="G84" s="74">
        <f t="shared" si="3"/>
        <v>50</v>
      </c>
      <c r="H84" s="7">
        <f t="shared" si="4"/>
        <v>450</v>
      </c>
      <c r="I84" s="7">
        <f t="shared" si="5"/>
        <v>900</v>
      </c>
      <c r="J84" s="16">
        <v>594</v>
      </c>
    </row>
    <row r="85" spans="1:10">
      <c r="A85" s="42" t="s">
        <v>543</v>
      </c>
      <c r="B85" s="32" t="s">
        <v>443</v>
      </c>
      <c r="C85" s="7">
        <v>5</v>
      </c>
      <c r="D85" s="7">
        <v>10</v>
      </c>
      <c r="E85" s="7">
        <v>10</v>
      </c>
      <c r="F85" s="7">
        <v>20</v>
      </c>
      <c r="G85" s="74">
        <f t="shared" si="3"/>
        <v>50</v>
      </c>
      <c r="H85" s="7">
        <f t="shared" si="4"/>
        <v>50</v>
      </c>
      <c r="I85" s="7">
        <f t="shared" si="5"/>
        <v>100</v>
      </c>
      <c r="J85" s="16">
        <v>644</v>
      </c>
    </row>
    <row r="86" spans="1:10">
      <c r="A86" s="42" t="s">
        <v>543</v>
      </c>
      <c r="B86" s="32" t="s">
        <v>444</v>
      </c>
      <c r="C86" s="7">
        <v>0</v>
      </c>
      <c r="D86" s="7">
        <v>10</v>
      </c>
      <c r="E86" s="7">
        <v>5</v>
      </c>
      <c r="F86" s="7">
        <v>10</v>
      </c>
      <c r="G86" s="74">
        <f t="shared" si="3"/>
        <v>50</v>
      </c>
      <c r="H86" s="7">
        <f t="shared" si="4"/>
        <v>0</v>
      </c>
      <c r="I86" s="7">
        <f t="shared" si="5"/>
        <v>0</v>
      </c>
      <c r="J86" s="7"/>
    </row>
    <row r="87" spans="1:10">
      <c r="A87" s="42" t="s">
        <v>543</v>
      </c>
      <c r="B87" s="32" t="s">
        <v>446</v>
      </c>
      <c r="C87" s="7">
        <v>4</v>
      </c>
      <c r="D87" s="7">
        <v>10</v>
      </c>
      <c r="E87" s="7">
        <v>60</v>
      </c>
      <c r="F87" s="7">
        <v>90</v>
      </c>
      <c r="G87" s="74">
        <f t="shared" si="3"/>
        <v>33.333333333333343</v>
      </c>
      <c r="H87" s="7">
        <f t="shared" si="4"/>
        <v>240</v>
      </c>
      <c r="I87" s="7">
        <f t="shared" si="5"/>
        <v>360</v>
      </c>
      <c r="J87" s="16">
        <v>644</v>
      </c>
    </row>
    <row r="88" spans="1:10">
      <c r="A88" s="42" t="s">
        <v>543</v>
      </c>
      <c r="B88" s="33" t="s">
        <v>489</v>
      </c>
      <c r="C88" s="16">
        <v>8</v>
      </c>
      <c r="D88" s="7">
        <v>10</v>
      </c>
      <c r="E88" s="7">
        <v>20</v>
      </c>
      <c r="F88" s="7">
        <v>30</v>
      </c>
      <c r="G88" s="74">
        <f t="shared" si="3"/>
        <v>33.333333333333343</v>
      </c>
      <c r="H88" s="7">
        <f t="shared" si="4"/>
        <v>160</v>
      </c>
      <c r="I88" s="7">
        <f t="shared" si="5"/>
        <v>240</v>
      </c>
      <c r="J88" s="16">
        <v>644</v>
      </c>
    </row>
    <row r="89" spans="1:10">
      <c r="A89" s="42" t="s">
        <v>543</v>
      </c>
      <c r="B89" s="32" t="s">
        <v>450</v>
      </c>
      <c r="C89" s="16">
        <v>1</v>
      </c>
      <c r="D89" s="7">
        <v>10</v>
      </c>
      <c r="E89" s="7"/>
      <c r="F89" s="7"/>
      <c r="G89" s="74" t="e">
        <f t="shared" si="3"/>
        <v>#DIV/0!</v>
      </c>
      <c r="H89" s="7">
        <f t="shared" si="4"/>
        <v>0</v>
      </c>
      <c r="I89" s="7">
        <f t="shared" si="5"/>
        <v>0</v>
      </c>
      <c r="J89" s="16">
        <v>644</v>
      </c>
    </row>
    <row r="90" spans="1:10">
      <c r="A90" s="42" t="s">
        <v>543</v>
      </c>
      <c r="B90" s="32" t="s">
        <v>451</v>
      </c>
      <c r="C90" s="16">
        <v>50</v>
      </c>
      <c r="D90" s="7">
        <v>10</v>
      </c>
      <c r="E90" s="7">
        <v>10</v>
      </c>
      <c r="F90" s="7">
        <v>20</v>
      </c>
      <c r="G90" s="74">
        <f t="shared" si="3"/>
        <v>50</v>
      </c>
      <c r="H90" s="7">
        <f t="shared" si="4"/>
        <v>500</v>
      </c>
      <c r="I90" s="7">
        <f t="shared" si="5"/>
        <v>1000</v>
      </c>
      <c r="J90" s="16">
        <v>644</v>
      </c>
    </row>
    <row r="91" spans="1:10">
      <c r="A91" s="42" t="s">
        <v>543</v>
      </c>
      <c r="B91" s="32" t="s">
        <v>452</v>
      </c>
      <c r="C91" s="16">
        <v>3</v>
      </c>
      <c r="D91" s="7">
        <v>5</v>
      </c>
      <c r="E91" s="7">
        <v>150</v>
      </c>
      <c r="F91" s="7">
        <v>220</v>
      </c>
      <c r="G91" s="74">
        <f t="shared" si="3"/>
        <v>31.818181818181827</v>
      </c>
      <c r="H91" s="7">
        <f t="shared" si="4"/>
        <v>450</v>
      </c>
      <c r="I91" s="7">
        <f t="shared" si="5"/>
        <v>660</v>
      </c>
      <c r="J91" s="7"/>
    </row>
    <row r="92" spans="1:10">
      <c r="A92" s="42" t="s">
        <v>543</v>
      </c>
      <c r="B92" s="32" t="s">
        <v>453</v>
      </c>
      <c r="C92" s="16">
        <v>6</v>
      </c>
      <c r="D92" s="7">
        <v>10</v>
      </c>
      <c r="E92" s="7">
        <v>7</v>
      </c>
      <c r="F92" s="7">
        <v>15</v>
      </c>
      <c r="G92" s="74">
        <f t="shared" si="3"/>
        <v>53.333333333333336</v>
      </c>
      <c r="H92" s="7">
        <f t="shared" si="4"/>
        <v>42</v>
      </c>
      <c r="I92" s="7">
        <f t="shared" si="5"/>
        <v>90</v>
      </c>
      <c r="J92" s="7"/>
    </row>
    <row r="93" spans="1:10">
      <c r="A93" s="42" t="s">
        <v>543</v>
      </c>
      <c r="B93" s="33" t="s">
        <v>454</v>
      </c>
      <c r="C93" s="16">
        <v>0</v>
      </c>
      <c r="D93" s="7">
        <v>0</v>
      </c>
      <c r="E93" s="7">
        <v>90</v>
      </c>
      <c r="F93" s="7">
        <v>150</v>
      </c>
      <c r="G93" s="74">
        <f t="shared" si="3"/>
        <v>40</v>
      </c>
      <c r="H93" s="7">
        <f t="shared" si="4"/>
        <v>0</v>
      </c>
      <c r="I93" s="7">
        <f t="shared" si="5"/>
        <v>0</v>
      </c>
      <c r="J93" s="7"/>
    </row>
    <row r="94" spans="1:10">
      <c r="A94" s="42" t="s">
        <v>543</v>
      </c>
      <c r="B94" s="33" t="s">
        <v>455</v>
      </c>
      <c r="C94" s="16">
        <v>0</v>
      </c>
      <c r="D94" s="7">
        <v>10</v>
      </c>
      <c r="E94" s="7"/>
      <c r="F94" s="7"/>
      <c r="G94" s="74" t="e">
        <f t="shared" si="3"/>
        <v>#DIV/0!</v>
      </c>
      <c r="H94" s="7">
        <f t="shared" si="4"/>
        <v>0</v>
      </c>
      <c r="I94" s="7">
        <f t="shared" si="5"/>
        <v>0</v>
      </c>
      <c r="J94" s="7"/>
    </row>
    <row r="95" spans="1:10">
      <c r="A95" s="42" t="s">
        <v>543</v>
      </c>
      <c r="B95" s="33" t="s">
        <v>456</v>
      </c>
      <c r="C95" s="16">
        <v>0</v>
      </c>
      <c r="D95" s="7">
        <v>10</v>
      </c>
      <c r="E95" s="7">
        <v>70</v>
      </c>
      <c r="F95" s="7">
        <v>100</v>
      </c>
      <c r="G95" s="74">
        <f t="shared" si="3"/>
        <v>30</v>
      </c>
      <c r="H95" s="7">
        <f t="shared" si="4"/>
        <v>0</v>
      </c>
      <c r="I95" s="7">
        <f t="shared" si="5"/>
        <v>0</v>
      </c>
      <c r="J95" s="7"/>
    </row>
    <row r="96" spans="1:10">
      <c r="A96" s="42" t="s">
        <v>543</v>
      </c>
      <c r="B96" s="33" t="s">
        <v>465</v>
      </c>
      <c r="C96" s="16">
        <v>1</v>
      </c>
      <c r="D96" s="7">
        <v>10</v>
      </c>
      <c r="E96" s="7">
        <v>35</v>
      </c>
      <c r="F96" s="7">
        <v>50</v>
      </c>
      <c r="G96" s="74">
        <f t="shared" si="3"/>
        <v>30</v>
      </c>
      <c r="H96" s="7">
        <f t="shared" si="4"/>
        <v>35</v>
      </c>
      <c r="I96" s="7">
        <f t="shared" si="5"/>
        <v>50</v>
      </c>
      <c r="J96" s="7"/>
    </row>
    <row r="97" spans="1:10">
      <c r="A97" s="42" t="s">
        <v>543</v>
      </c>
      <c r="B97" s="33" t="s">
        <v>457</v>
      </c>
      <c r="C97" s="16">
        <v>0</v>
      </c>
      <c r="D97" s="7">
        <v>10</v>
      </c>
      <c r="E97" s="7"/>
      <c r="F97" s="7"/>
      <c r="G97" s="74" t="e">
        <f t="shared" si="3"/>
        <v>#DIV/0!</v>
      </c>
      <c r="H97" s="7">
        <f t="shared" si="4"/>
        <v>0</v>
      </c>
      <c r="I97" s="7">
        <f t="shared" si="5"/>
        <v>0</v>
      </c>
      <c r="J97" s="7"/>
    </row>
    <row r="98" spans="1:10">
      <c r="A98" s="42" t="s">
        <v>543</v>
      </c>
      <c r="B98" s="33" t="s">
        <v>458</v>
      </c>
      <c r="C98" s="16">
        <v>8</v>
      </c>
      <c r="D98" s="7">
        <v>10</v>
      </c>
      <c r="E98" s="7">
        <v>7</v>
      </c>
      <c r="F98" s="7">
        <v>10</v>
      </c>
      <c r="G98" s="74">
        <f t="shared" si="3"/>
        <v>30</v>
      </c>
      <c r="H98" s="7">
        <f t="shared" si="4"/>
        <v>56</v>
      </c>
      <c r="I98" s="7">
        <f t="shared" si="5"/>
        <v>80</v>
      </c>
      <c r="J98" s="7"/>
    </row>
    <row r="99" spans="1:10">
      <c r="A99" s="42" t="s">
        <v>543</v>
      </c>
      <c r="B99" s="33" t="s">
        <v>459</v>
      </c>
      <c r="C99" s="16">
        <v>0</v>
      </c>
      <c r="D99" s="7">
        <v>10</v>
      </c>
      <c r="E99" s="7"/>
      <c r="F99" s="7"/>
      <c r="G99" s="74" t="e">
        <f t="shared" si="3"/>
        <v>#DIV/0!</v>
      </c>
      <c r="H99" s="7">
        <f t="shared" si="4"/>
        <v>0</v>
      </c>
      <c r="I99" s="7">
        <f t="shared" si="5"/>
        <v>0</v>
      </c>
      <c r="J99" s="7"/>
    </row>
    <row r="100" spans="1:10">
      <c r="A100" s="42" t="s">
        <v>543</v>
      </c>
      <c r="B100" s="33" t="s">
        <v>460</v>
      </c>
      <c r="C100" s="16">
        <v>0</v>
      </c>
      <c r="D100" s="7">
        <v>10</v>
      </c>
      <c r="E100" s="7"/>
      <c r="F100" s="7"/>
      <c r="G100" s="74" t="e">
        <f t="shared" si="3"/>
        <v>#DIV/0!</v>
      </c>
      <c r="H100" s="7">
        <f t="shared" si="4"/>
        <v>0</v>
      </c>
      <c r="I100" s="7">
        <f t="shared" si="5"/>
        <v>0</v>
      </c>
      <c r="J100" s="7"/>
    </row>
    <row r="101" spans="1:10">
      <c r="A101" s="42" t="s">
        <v>543</v>
      </c>
      <c r="B101" s="33" t="s">
        <v>461</v>
      </c>
      <c r="C101" s="16">
        <v>0</v>
      </c>
      <c r="D101" s="7">
        <v>10</v>
      </c>
      <c r="E101" s="7"/>
      <c r="F101" s="7"/>
      <c r="G101" s="74" t="e">
        <f t="shared" si="3"/>
        <v>#DIV/0!</v>
      </c>
      <c r="H101" s="7">
        <f t="shared" si="4"/>
        <v>0</v>
      </c>
      <c r="I101" s="7">
        <f t="shared" si="5"/>
        <v>0</v>
      </c>
      <c r="J101" s="7"/>
    </row>
    <row r="102" spans="1:10">
      <c r="A102" s="42" t="s">
        <v>543</v>
      </c>
      <c r="B102" s="33" t="s">
        <v>462</v>
      </c>
      <c r="C102" s="16">
        <v>2</v>
      </c>
      <c r="D102" s="7">
        <v>10</v>
      </c>
      <c r="E102" s="7">
        <v>5</v>
      </c>
      <c r="F102" s="7">
        <v>10</v>
      </c>
      <c r="G102" s="74">
        <f t="shared" si="3"/>
        <v>50</v>
      </c>
      <c r="H102" s="7">
        <f t="shared" si="4"/>
        <v>10</v>
      </c>
      <c r="I102" s="7">
        <f t="shared" si="5"/>
        <v>20</v>
      </c>
      <c r="J102" s="7"/>
    </row>
    <row r="103" spans="1:10">
      <c r="A103" s="42" t="s">
        <v>543</v>
      </c>
      <c r="B103" s="33" t="s">
        <v>625</v>
      </c>
      <c r="C103" s="16">
        <v>800</v>
      </c>
      <c r="D103" s="7">
        <v>100</v>
      </c>
      <c r="E103" s="7">
        <v>0.1</v>
      </c>
      <c r="F103" s="7">
        <v>1</v>
      </c>
      <c r="G103" s="74">
        <f t="shared" si="3"/>
        <v>90</v>
      </c>
      <c r="H103" s="7">
        <f t="shared" si="4"/>
        <v>80</v>
      </c>
      <c r="I103" s="7">
        <f t="shared" si="5"/>
        <v>800</v>
      </c>
      <c r="J103" s="7"/>
    </row>
    <row r="104" spans="1:10">
      <c r="A104" s="42" t="s">
        <v>543</v>
      </c>
      <c r="B104" s="33" t="s">
        <v>463</v>
      </c>
      <c r="C104" s="16">
        <v>0</v>
      </c>
      <c r="D104" s="7">
        <v>10</v>
      </c>
      <c r="E104" s="7"/>
      <c r="F104" s="7"/>
      <c r="G104" s="74" t="e">
        <f t="shared" si="3"/>
        <v>#DIV/0!</v>
      </c>
      <c r="H104" s="7">
        <f t="shared" si="4"/>
        <v>0</v>
      </c>
      <c r="I104" s="7">
        <f t="shared" si="5"/>
        <v>0</v>
      </c>
      <c r="J104" s="7"/>
    </row>
    <row r="105" spans="1:10">
      <c r="A105" s="42" t="s">
        <v>543</v>
      </c>
      <c r="B105" s="33" t="s">
        <v>642</v>
      </c>
      <c r="C105" s="16">
        <v>2</v>
      </c>
      <c r="D105" s="7">
        <v>3</v>
      </c>
      <c r="E105" s="7">
        <v>60</v>
      </c>
      <c r="F105" s="7">
        <v>100</v>
      </c>
      <c r="G105" s="74">
        <f t="shared" si="3"/>
        <v>40</v>
      </c>
      <c r="H105" s="7">
        <f t="shared" si="4"/>
        <v>120</v>
      </c>
      <c r="I105" s="7">
        <f t="shared" si="5"/>
        <v>200</v>
      </c>
      <c r="J105" s="7"/>
    </row>
    <row r="106" spans="1:10">
      <c r="A106" s="42"/>
      <c r="B106" s="33"/>
      <c r="C106" s="16"/>
      <c r="D106" s="7"/>
      <c r="E106" s="7"/>
      <c r="F106" s="7"/>
      <c r="G106" s="74"/>
      <c r="H106" s="7"/>
      <c r="I106" s="7"/>
      <c r="J106" s="7"/>
    </row>
    <row r="107" spans="1:10">
      <c r="A107" s="28" t="s">
        <v>393</v>
      </c>
      <c r="B107" s="32" t="s">
        <v>394</v>
      </c>
      <c r="C107" s="7">
        <v>10</v>
      </c>
      <c r="D107" s="7">
        <v>10</v>
      </c>
      <c r="E107" s="7">
        <v>30</v>
      </c>
      <c r="F107" s="7">
        <v>40</v>
      </c>
      <c r="G107" s="74">
        <f t="shared" si="3"/>
        <v>25</v>
      </c>
      <c r="H107" s="7">
        <f t="shared" si="4"/>
        <v>300</v>
      </c>
      <c r="I107" s="7">
        <f t="shared" si="5"/>
        <v>400</v>
      </c>
      <c r="J107" s="16">
        <v>594</v>
      </c>
    </row>
    <row r="108" spans="1:10">
      <c r="A108" s="28" t="s">
        <v>393</v>
      </c>
      <c r="B108" s="32" t="s">
        <v>395</v>
      </c>
      <c r="C108" s="7">
        <v>6</v>
      </c>
      <c r="D108" s="7">
        <v>10</v>
      </c>
      <c r="E108" s="7">
        <v>30</v>
      </c>
      <c r="F108" s="7">
        <v>40</v>
      </c>
      <c r="G108" s="74">
        <f t="shared" si="3"/>
        <v>25</v>
      </c>
      <c r="H108" s="7">
        <f t="shared" si="4"/>
        <v>180</v>
      </c>
      <c r="I108" s="7">
        <f t="shared" si="5"/>
        <v>240</v>
      </c>
      <c r="J108" s="16">
        <v>594</v>
      </c>
    </row>
    <row r="109" spans="1:10">
      <c r="A109" s="28" t="s">
        <v>393</v>
      </c>
      <c r="B109" s="32" t="s">
        <v>396</v>
      </c>
      <c r="C109" s="7">
        <v>8</v>
      </c>
      <c r="D109" s="7">
        <v>10</v>
      </c>
      <c r="E109" s="7">
        <v>30</v>
      </c>
      <c r="F109" s="7">
        <v>40</v>
      </c>
      <c r="G109" s="74">
        <f t="shared" si="3"/>
        <v>25</v>
      </c>
      <c r="H109" s="7">
        <f t="shared" si="4"/>
        <v>240</v>
      </c>
      <c r="I109" s="7">
        <f t="shared" si="5"/>
        <v>320</v>
      </c>
      <c r="J109" s="16">
        <v>594</v>
      </c>
    </row>
    <row r="110" spans="1:10">
      <c r="A110" s="28" t="s">
        <v>393</v>
      </c>
      <c r="B110" s="32" t="s">
        <v>397</v>
      </c>
      <c r="C110" s="7">
        <v>0</v>
      </c>
      <c r="D110" s="7">
        <v>10</v>
      </c>
      <c r="E110" s="7"/>
      <c r="F110" s="7"/>
      <c r="G110" s="74" t="e">
        <f t="shared" si="3"/>
        <v>#DIV/0!</v>
      </c>
      <c r="H110" s="7">
        <f t="shared" si="4"/>
        <v>0</v>
      </c>
      <c r="I110" s="7">
        <f t="shared" si="5"/>
        <v>0</v>
      </c>
      <c r="J110" s="16">
        <v>594</v>
      </c>
    </row>
    <row r="111" spans="1:10">
      <c r="A111" s="28" t="s">
        <v>393</v>
      </c>
      <c r="B111" s="32" t="s">
        <v>398</v>
      </c>
      <c r="C111" s="7">
        <v>2</v>
      </c>
      <c r="D111" s="7">
        <v>10</v>
      </c>
      <c r="E111" s="7">
        <v>90</v>
      </c>
      <c r="F111" s="7">
        <v>150</v>
      </c>
      <c r="G111" s="74">
        <f t="shared" si="3"/>
        <v>40</v>
      </c>
      <c r="H111" s="7">
        <f t="shared" si="4"/>
        <v>180</v>
      </c>
      <c r="I111" s="7">
        <f t="shared" si="5"/>
        <v>300</v>
      </c>
      <c r="J111" s="16">
        <v>594</v>
      </c>
    </row>
    <row r="112" spans="1:10">
      <c r="A112" s="28" t="s">
        <v>393</v>
      </c>
      <c r="B112" s="32" t="s">
        <v>399</v>
      </c>
      <c r="C112" s="7">
        <v>0</v>
      </c>
      <c r="D112" s="7">
        <v>10</v>
      </c>
      <c r="E112" s="7"/>
      <c r="F112" s="7"/>
      <c r="G112" s="74" t="e">
        <f t="shared" si="3"/>
        <v>#DIV/0!</v>
      </c>
      <c r="H112" s="7">
        <f t="shared" si="4"/>
        <v>0</v>
      </c>
      <c r="I112" s="7">
        <f t="shared" si="5"/>
        <v>0</v>
      </c>
      <c r="J112" s="16">
        <v>594</v>
      </c>
    </row>
    <row r="113" spans="1:10">
      <c r="A113" s="28"/>
      <c r="B113" s="32"/>
      <c r="C113" s="7"/>
      <c r="D113" s="7"/>
      <c r="E113" s="7"/>
      <c r="F113" s="7"/>
      <c r="G113" s="74"/>
      <c r="H113" s="7">
        <f t="shared" si="4"/>
        <v>0</v>
      </c>
      <c r="I113" s="7">
        <f t="shared" si="5"/>
        <v>0</v>
      </c>
      <c r="J113" s="7"/>
    </row>
    <row r="114" spans="1:10">
      <c r="A114" s="28" t="s">
        <v>342</v>
      </c>
      <c r="B114" s="32" t="s">
        <v>400</v>
      </c>
      <c r="C114" s="7">
        <v>0</v>
      </c>
      <c r="D114" s="7">
        <v>10</v>
      </c>
      <c r="E114" s="7">
        <v>10</v>
      </c>
      <c r="F114" s="7">
        <v>20</v>
      </c>
      <c r="G114" s="74">
        <f t="shared" si="3"/>
        <v>50</v>
      </c>
      <c r="H114" s="7">
        <f t="shared" si="4"/>
        <v>0</v>
      </c>
      <c r="I114" s="7">
        <f t="shared" si="5"/>
        <v>0</v>
      </c>
      <c r="J114" s="16">
        <v>472</v>
      </c>
    </row>
    <row r="115" spans="1:10">
      <c r="A115" s="28" t="s">
        <v>342</v>
      </c>
      <c r="B115" s="32" t="s">
        <v>401</v>
      </c>
      <c r="C115" s="7">
        <v>0</v>
      </c>
      <c r="D115" s="7">
        <v>10</v>
      </c>
      <c r="E115" s="7">
        <v>15</v>
      </c>
      <c r="F115" s="7">
        <v>30</v>
      </c>
      <c r="G115" s="74">
        <f t="shared" si="3"/>
        <v>50</v>
      </c>
      <c r="H115" s="7">
        <f t="shared" si="4"/>
        <v>0</v>
      </c>
      <c r="I115" s="7">
        <f t="shared" si="5"/>
        <v>0</v>
      </c>
      <c r="J115" s="16">
        <v>472</v>
      </c>
    </row>
    <row r="116" spans="1:10">
      <c r="A116" s="28" t="s">
        <v>342</v>
      </c>
      <c r="B116" s="32" t="s">
        <v>623</v>
      </c>
      <c r="C116" s="7">
        <v>0</v>
      </c>
      <c r="D116" s="7">
        <v>50</v>
      </c>
      <c r="E116" s="7">
        <v>20</v>
      </c>
      <c r="F116" s="7">
        <v>40</v>
      </c>
      <c r="G116" s="74">
        <f t="shared" si="3"/>
        <v>50</v>
      </c>
      <c r="H116" s="7">
        <f t="shared" si="4"/>
        <v>0</v>
      </c>
      <c r="I116" s="7">
        <f t="shared" si="5"/>
        <v>0</v>
      </c>
      <c r="J116" s="16">
        <v>472</v>
      </c>
    </row>
    <row r="117" spans="1:10">
      <c r="A117" s="28" t="s">
        <v>342</v>
      </c>
      <c r="B117" s="32" t="s">
        <v>624</v>
      </c>
      <c r="C117" s="7">
        <v>40</v>
      </c>
      <c r="D117" s="7">
        <v>100</v>
      </c>
      <c r="E117" s="7">
        <v>15</v>
      </c>
      <c r="F117" s="7">
        <v>30</v>
      </c>
      <c r="G117" s="74">
        <f t="shared" si="3"/>
        <v>50</v>
      </c>
      <c r="H117" s="7">
        <f t="shared" si="4"/>
        <v>600</v>
      </c>
      <c r="I117" s="7">
        <f t="shared" si="5"/>
        <v>1200</v>
      </c>
      <c r="J117" s="16">
        <v>644</v>
      </c>
    </row>
    <row r="118" spans="1:10">
      <c r="A118" s="28" t="s">
        <v>342</v>
      </c>
      <c r="B118" s="32" t="s">
        <v>402</v>
      </c>
      <c r="C118" s="7">
        <v>0</v>
      </c>
      <c r="D118" s="7">
        <v>10</v>
      </c>
      <c r="E118" s="7">
        <v>40</v>
      </c>
      <c r="F118" s="7">
        <v>60</v>
      </c>
      <c r="G118" s="74">
        <f t="shared" si="3"/>
        <v>33.333333333333343</v>
      </c>
      <c r="H118" s="7">
        <f t="shared" si="4"/>
        <v>0</v>
      </c>
      <c r="I118" s="7">
        <f t="shared" si="5"/>
        <v>0</v>
      </c>
      <c r="J118" s="16">
        <v>472</v>
      </c>
    </row>
    <row r="119" spans="1:10">
      <c r="A119" s="28" t="s">
        <v>342</v>
      </c>
      <c r="B119" s="32" t="s">
        <v>466</v>
      </c>
      <c r="C119" s="7">
        <v>80</v>
      </c>
      <c r="D119" s="7">
        <v>10</v>
      </c>
      <c r="E119" s="7">
        <v>20</v>
      </c>
      <c r="F119" s="7">
        <v>40</v>
      </c>
      <c r="G119" s="74">
        <f t="shared" si="3"/>
        <v>50</v>
      </c>
      <c r="H119" s="7">
        <f t="shared" si="4"/>
        <v>1600</v>
      </c>
      <c r="I119" s="7">
        <f t="shared" si="5"/>
        <v>3200</v>
      </c>
      <c r="J119" s="16">
        <v>472</v>
      </c>
    </row>
    <row r="120" spans="1:10">
      <c r="A120" s="28" t="s">
        <v>416</v>
      </c>
      <c r="B120" s="32" t="s">
        <v>417</v>
      </c>
      <c r="C120" s="7">
        <v>30</v>
      </c>
      <c r="D120" s="7">
        <v>10</v>
      </c>
      <c r="E120" s="7">
        <v>15</v>
      </c>
      <c r="F120" s="7">
        <v>40</v>
      </c>
      <c r="G120" s="74">
        <f t="shared" si="3"/>
        <v>62.5</v>
      </c>
      <c r="H120" s="7">
        <f t="shared" si="4"/>
        <v>450</v>
      </c>
      <c r="I120" s="7">
        <f t="shared" si="5"/>
        <v>1200</v>
      </c>
      <c r="J120" s="16">
        <v>594</v>
      </c>
    </row>
    <row r="121" spans="1:10">
      <c r="A121" s="28" t="s">
        <v>416</v>
      </c>
      <c r="B121" s="32" t="s">
        <v>825</v>
      </c>
      <c r="C121" s="7">
        <v>10</v>
      </c>
      <c r="D121" s="7">
        <v>20</v>
      </c>
      <c r="E121" s="7">
        <v>10</v>
      </c>
      <c r="F121" s="7">
        <v>30</v>
      </c>
      <c r="G121" s="74">
        <f t="shared" si="3"/>
        <v>66.666666666666671</v>
      </c>
      <c r="H121" s="7">
        <f t="shared" si="4"/>
        <v>100</v>
      </c>
      <c r="I121" s="7">
        <f t="shared" si="5"/>
        <v>300</v>
      </c>
      <c r="J121" s="16">
        <v>594</v>
      </c>
    </row>
    <row r="122" spans="1:10">
      <c r="A122" s="28" t="s">
        <v>416</v>
      </c>
      <c r="B122" s="32" t="s">
        <v>418</v>
      </c>
      <c r="C122" s="7">
        <v>15</v>
      </c>
      <c r="D122" s="7">
        <v>20</v>
      </c>
      <c r="E122" s="7">
        <v>10</v>
      </c>
      <c r="F122" s="7">
        <v>30</v>
      </c>
      <c r="G122" s="74">
        <f t="shared" si="3"/>
        <v>66.666666666666671</v>
      </c>
      <c r="H122" s="7">
        <f t="shared" si="4"/>
        <v>150</v>
      </c>
      <c r="I122" s="7">
        <f t="shared" si="5"/>
        <v>450</v>
      </c>
      <c r="J122" s="16">
        <v>594</v>
      </c>
    </row>
    <row r="123" spans="1:10">
      <c r="A123" s="28" t="s">
        <v>416</v>
      </c>
      <c r="B123" s="32" t="s">
        <v>419</v>
      </c>
      <c r="C123" s="7">
        <v>30</v>
      </c>
      <c r="D123" s="7">
        <v>20</v>
      </c>
      <c r="E123" s="7">
        <v>10</v>
      </c>
      <c r="F123" s="7">
        <v>30</v>
      </c>
      <c r="G123" s="74">
        <f t="shared" si="3"/>
        <v>66.666666666666671</v>
      </c>
      <c r="H123" s="7">
        <f t="shared" si="4"/>
        <v>300</v>
      </c>
      <c r="I123" s="7">
        <f t="shared" si="5"/>
        <v>900</v>
      </c>
      <c r="J123" s="16">
        <v>594</v>
      </c>
    </row>
    <row r="124" spans="1:10">
      <c r="A124" s="28"/>
      <c r="B124" s="32"/>
      <c r="C124" s="7"/>
      <c r="D124" s="7"/>
      <c r="E124" s="7"/>
      <c r="F124" s="7"/>
      <c r="G124" s="74"/>
      <c r="H124" s="7"/>
      <c r="I124" s="7"/>
      <c r="J124" s="7"/>
    </row>
    <row r="125" spans="1:10">
      <c r="A125" s="28" t="s">
        <v>420</v>
      </c>
      <c r="B125" s="32" t="s">
        <v>421</v>
      </c>
      <c r="C125" s="7">
        <v>700</v>
      </c>
      <c r="D125" s="7">
        <v>100</v>
      </c>
      <c r="E125" s="7">
        <v>0.3</v>
      </c>
      <c r="F125" s="7">
        <v>1</v>
      </c>
      <c r="G125" s="74">
        <f t="shared" si="3"/>
        <v>70</v>
      </c>
      <c r="H125" s="7">
        <f t="shared" si="4"/>
        <v>210</v>
      </c>
      <c r="I125" s="7">
        <f t="shared" si="5"/>
        <v>700</v>
      </c>
      <c r="J125" s="7"/>
    </row>
    <row r="126" spans="1:10">
      <c r="A126" s="28" t="s">
        <v>420</v>
      </c>
      <c r="B126" s="32" t="s">
        <v>422</v>
      </c>
      <c r="C126" s="7">
        <v>30</v>
      </c>
      <c r="D126" s="7">
        <v>100</v>
      </c>
      <c r="E126" s="7">
        <v>0.3</v>
      </c>
      <c r="F126" s="7">
        <v>1</v>
      </c>
      <c r="G126" s="74">
        <f t="shared" si="3"/>
        <v>70</v>
      </c>
      <c r="H126" s="7">
        <f t="shared" si="4"/>
        <v>9</v>
      </c>
      <c r="I126" s="7">
        <f t="shared" si="5"/>
        <v>30</v>
      </c>
      <c r="J126" s="7"/>
    </row>
    <row r="127" spans="1:10">
      <c r="A127" s="28" t="s">
        <v>420</v>
      </c>
      <c r="B127" s="32" t="s">
        <v>423</v>
      </c>
      <c r="C127" s="7">
        <v>700</v>
      </c>
      <c r="D127" s="7">
        <v>100</v>
      </c>
      <c r="E127" s="7">
        <v>0.3</v>
      </c>
      <c r="F127" s="7">
        <v>1</v>
      </c>
      <c r="G127" s="74">
        <f t="shared" si="3"/>
        <v>70</v>
      </c>
      <c r="H127" s="7">
        <f t="shared" si="4"/>
        <v>210</v>
      </c>
      <c r="I127" s="7">
        <f t="shared" si="5"/>
        <v>700</v>
      </c>
      <c r="J127" s="7"/>
    </row>
    <row r="128" spans="1:10">
      <c r="A128" s="28" t="s">
        <v>420</v>
      </c>
      <c r="B128" s="32" t="s">
        <v>424</v>
      </c>
      <c r="C128" s="7">
        <v>20</v>
      </c>
      <c r="D128" s="7">
        <v>100</v>
      </c>
      <c r="E128" s="7">
        <v>0.3</v>
      </c>
      <c r="F128" s="7">
        <v>1</v>
      </c>
      <c r="G128" s="74">
        <f t="shared" si="3"/>
        <v>70</v>
      </c>
      <c r="H128" s="7">
        <f t="shared" si="4"/>
        <v>6</v>
      </c>
      <c r="I128" s="7">
        <f t="shared" si="5"/>
        <v>20</v>
      </c>
      <c r="J128" s="7"/>
    </row>
    <row r="129" spans="1:10">
      <c r="A129" s="28" t="s">
        <v>420</v>
      </c>
      <c r="B129" s="32" t="s">
        <v>425</v>
      </c>
      <c r="C129" s="7">
        <v>50</v>
      </c>
      <c r="D129" s="7">
        <v>100</v>
      </c>
      <c r="E129" s="7">
        <v>0.3</v>
      </c>
      <c r="F129" s="7">
        <v>1</v>
      </c>
      <c r="G129" s="74">
        <f t="shared" si="3"/>
        <v>70</v>
      </c>
      <c r="H129" s="7">
        <f t="shared" si="4"/>
        <v>15</v>
      </c>
      <c r="I129" s="7">
        <f t="shared" si="5"/>
        <v>50</v>
      </c>
      <c r="J129" s="7"/>
    </row>
    <row r="130" spans="1:10">
      <c r="A130" s="28" t="s">
        <v>420</v>
      </c>
      <c r="B130" s="32" t="s">
        <v>426</v>
      </c>
      <c r="C130" s="7">
        <v>2</v>
      </c>
      <c r="D130" s="7">
        <v>100</v>
      </c>
      <c r="E130" s="7">
        <v>1</v>
      </c>
      <c r="F130" s="7">
        <v>5</v>
      </c>
      <c r="G130" s="74">
        <f t="shared" si="3"/>
        <v>80</v>
      </c>
      <c r="H130" s="7">
        <f t="shared" si="4"/>
        <v>2</v>
      </c>
      <c r="I130" s="7">
        <f t="shared" si="5"/>
        <v>10</v>
      </c>
      <c r="J130" s="7"/>
    </row>
    <row r="131" spans="1:10">
      <c r="A131" s="28" t="s">
        <v>420</v>
      </c>
      <c r="B131" s="32" t="s">
        <v>427</v>
      </c>
      <c r="C131" s="7">
        <v>150</v>
      </c>
      <c r="D131" s="7">
        <v>50</v>
      </c>
      <c r="E131" s="7">
        <v>0.3</v>
      </c>
      <c r="F131" s="7">
        <v>2</v>
      </c>
      <c r="G131" s="74">
        <f t="shared" si="3"/>
        <v>85</v>
      </c>
      <c r="H131" s="7">
        <f t="shared" si="4"/>
        <v>45</v>
      </c>
      <c r="I131" s="7">
        <f t="shared" si="5"/>
        <v>300</v>
      </c>
      <c r="J131" s="7"/>
    </row>
    <row r="132" spans="1:10">
      <c r="A132" s="28" t="s">
        <v>420</v>
      </c>
      <c r="B132" s="32" t="s">
        <v>428</v>
      </c>
      <c r="C132" s="7">
        <v>700</v>
      </c>
      <c r="D132" s="7">
        <v>50</v>
      </c>
      <c r="E132" s="7">
        <v>2.75</v>
      </c>
      <c r="F132" s="7">
        <v>5</v>
      </c>
      <c r="G132" s="74">
        <f t="shared" si="3"/>
        <v>44.999999999999993</v>
      </c>
      <c r="H132" s="7">
        <f t="shared" si="4"/>
        <v>1925</v>
      </c>
      <c r="I132" s="7">
        <f t="shared" si="5"/>
        <v>3500</v>
      </c>
      <c r="J132" s="7"/>
    </row>
    <row r="133" spans="1:10">
      <c r="A133" s="28" t="s">
        <v>420</v>
      </c>
      <c r="B133" s="32" t="s">
        <v>429</v>
      </c>
      <c r="C133" s="7">
        <v>5</v>
      </c>
      <c r="D133" s="7">
        <v>0</v>
      </c>
      <c r="E133" s="7">
        <v>2</v>
      </c>
      <c r="F133" s="7">
        <v>5</v>
      </c>
      <c r="G133" s="74">
        <f t="shared" si="3"/>
        <v>60</v>
      </c>
      <c r="H133" s="7">
        <f t="shared" si="4"/>
        <v>10</v>
      </c>
      <c r="I133" s="7">
        <f t="shared" si="5"/>
        <v>25</v>
      </c>
      <c r="J133" s="7"/>
    </row>
    <row r="134" spans="1:10">
      <c r="A134" s="28"/>
      <c r="B134" s="32"/>
      <c r="C134" s="7"/>
      <c r="D134" s="7"/>
      <c r="E134" s="7"/>
      <c r="F134" s="7"/>
      <c r="G134" s="74"/>
      <c r="H134" s="7"/>
      <c r="I134" s="7"/>
      <c r="J134" s="7"/>
    </row>
    <row r="135" spans="1:10">
      <c r="A135" s="28" t="s">
        <v>430</v>
      </c>
      <c r="B135" s="32" t="s">
        <v>431</v>
      </c>
      <c r="C135" s="7">
        <v>40</v>
      </c>
      <c r="D135" s="7">
        <v>50</v>
      </c>
      <c r="E135" s="7">
        <v>1</v>
      </c>
      <c r="F135" s="7">
        <v>2</v>
      </c>
      <c r="G135" s="74">
        <f t="shared" ref="G135:G149" si="6">100-((E135/F135)*100)</f>
        <v>50</v>
      </c>
      <c r="H135" s="7">
        <f t="shared" si="4"/>
        <v>40</v>
      </c>
      <c r="I135" s="7">
        <f t="shared" si="5"/>
        <v>80</v>
      </c>
      <c r="J135" s="16">
        <v>594</v>
      </c>
    </row>
    <row r="136" spans="1:10">
      <c r="A136" s="28" t="s">
        <v>430</v>
      </c>
      <c r="B136" s="32" t="s">
        <v>432</v>
      </c>
      <c r="C136" s="7">
        <v>0</v>
      </c>
      <c r="D136" s="7">
        <v>20</v>
      </c>
      <c r="E136" s="7">
        <v>2</v>
      </c>
      <c r="F136" s="7">
        <v>5</v>
      </c>
      <c r="G136" s="74">
        <f t="shared" si="6"/>
        <v>60</v>
      </c>
      <c r="H136" s="7">
        <f t="shared" si="4"/>
        <v>0</v>
      </c>
      <c r="I136" s="7">
        <f t="shared" si="5"/>
        <v>0</v>
      </c>
      <c r="J136" s="16">
        <v>594</v>
      </c>
    </row>
    <row r="137" spans="1:10">
      <c r="A137" s="28" t="s">
        <v>430</v>
      </c>
      <c r="B137" s="32" t="s">
        <v>433</v>
      </c>
      <c r="C137" s="7">
        <v>25</v>
      </c>
      <c r="D137" s="7">
        <v>50</v>
      </c>
      <c r="E137" s="7">
        <v>2</v>
      </c>
      <c r="F137" s="7">
        <v>5</v>
      </c>
      <c r="G137" s="74">
        <f t="shared" si="6"/>
        <v>60</v>
      </c>
      <c r="H137" s="7">
        <f t="shared" si="4"/>
        <v>50</v>
      </c>
      <c r="I137" s="7">
        <f t="shared" si="5"/>
        <v>125</v>
      </c>
      <c r="J137" s="16">
        <v>594</v>
      </c>
    </row>
    <row r="138" spans="1:10">
      <c r="A138" s="28" t="s">
        <v>430</v>
      </c>
      <c r="B138" s="32" t="s">
        <v>434</v>
      </c>
      <c r="C138" s="7">
        <v>3</v>
      </c>
      <c r="D138" s="7">
        <v>20</v>
      </c>
      <c r="E138" s="7">
        <v>2</v>
      </c>
      <c r="F138" s="7">
        <v>5</v>
      </c>
      <c r="G138" s="74">
        <f t="shared" si="6"/>
        <v>60</v>
      </c>
      <c r="H138" s="7">
        <f t="shared" si="4"/>
        <v>6</v>
      </c>
      <c r="I138" s="7">
        <f t="shared" si="5"/>
        <v>15</v>
      </c>
      <c r="J138" s="16">
        <v>594</v>
      </c>
    </row>
    <row r="139" spans="1:10">
      <c r="A139" s="28" t="s">
        <v>430</v>
      </c>
      <c r="B139" s="32" t="s">
        <v>435</v>
      </c>
      <c r="C139" s="7">
        <v>0</v>
      </c>
      <c r="D139" s="7">
        <v>50</v>
      </c>
      <c r="E139" s="7">
        <v>2</v>
      </c>
      <c r="F139" s="7">
        <v>5</v>
      </c>
      <c r="G139" s="74">
        <f t="shared" si="6"/>
        <v>60</v>
      </c>
      <c r="H139" s="7">
        <f t="shared" si="4"/>
        <v>0</v>
      </c>
      <c r="I139" s="7">
        <f t="shared" si="5"/>
        <v>0</v>
      </c>
      <c r="J139" s="16">
        <v>594</v>
      </c>
    </row>
    <row r="140" spans="1:10">
      <c r="A140" s="28" t="s">
        <v>430</v>
      </c>
      <c r="B140" s="32" t="s">
        <v>436</v>
      </c>
      <c r="C140" s="7">
        <v>10</v>
      </c>
      <c r="D140" s="7">
        <v>20</v>
      </c>
      <c r="E140" s="7">
        <v>5</v>
      </c>
      <c r="F140" s="7">
        <v>10</v>
      </c>
      <c r="G140" s="74">
        <f t="shared" si="6"/>
        <v>50</v>
      </c>
      <c r="H140" s="7">
        <f t="shared" si="4"/>
        <v>50</v>
      </c>
      <c r="I140" s="7">
        <f t="shared" si="5"/>
        <v>100</v>
      </c>
      <c r="J140" s="16">
        <v>594</v>
      </c>
    </row>
    <row r="141" spans="1:10">
      <c r="A141" s="28" t="s">
        <v>430</v>
      </c>
      <c r="B141" s="32" t="s">
        <v>437</v>
      </c>
      <c r="C141" s="7">
        <v>100</v>
      </c>
      <c r="D141" s="7">
        <v>20</v>
      </c>
      <c r="E141" s="7">
        <v>5</v>
      </c>
      <c r="F141" s="7">
        <v>10</v>
      </c>
      <c r="G141" s="74">
        <f t="shared" si="6"/>
        <v>50</v>
      </c>
      <c r="H141" s="7">
        <f t="shared" si="4"/>
        <v>500</v>
      </c>
      <c r="I141" s="7">
        <f t="shared" si="5"/>
        <v>1000</v>
      </c>
      <c r="J141" s="16">
        <v>594</v>
      </c>
    </row>
    <row r="142" spans="1:10">
      <c r="A142" s="28" t="s">
        <v>430</v>
      </c>
      <c r="B142" s="32" t="s">
        <v>438</v>
      </c>
      <c r="C142" s="7">
        <v>100</v>
      </c>
      <c r="D142" s="7">
        <v>20</v>
      </c>
      <c r="E142" s="7">
        <v>5</v>
      </c>
      <c r="F142" s="7">
        <v>10</v>
      </c>
      <c r="G142" s="74">
        <f t="shared" si="6"/>
        <v>50</v>
      </c>
      <c r="H142" s="7">
        <f t="shared" ref="H142:H149" si="7">+E142*C142</f>
        <v>500</v>
      </c>
      <c r="I142" s="7">
        <f t="shared" ref="I142:I149" si="8">+F142*C142</f>
        <v>1000</v>
      </c>
      <c r="J142" s="16">
        <v>594</v>
      </c>
    </row>
    <row r="143" spans="1:10">
      <c r="A143" s="28" t="s">
        <v>430</v>
      </c>
      <c r="B143" s="32" t="s">
        <v>439</v>
      </c>
      <c r="C143" s="7">
        <v>14</v>
      </c>
      <c r="D143" s="7">
        <v>0</v>
      </c>
      <c r="E143" s="7">
        <v>48</v>
      </c>
      <c r="F143" s="7">
        <v>60</v>
      </c>
      <c r="G143" s="74">
        <f t="shared" si="6"/>
        <v>20</v>
      </c>
      <c r="H143" s="7">
        <f t="shared" si="7"/>
        <v>672</v>
      </c>
      <c r="I143" s="7">
        <f t="shared" si="8"/>
        <v>840</v>
      </c>
      <c r="J143" s="16">
        <v>594</v>
      </c>
    </row>
    <row r="144" spans="1:10">
      <c r="A144" s="28"/>
      <c r="B144" s="32"/>
      <c r="C144" s="7"/>
      <c r="D144" s="7"/>
      <c r="E144" s="7"/>
      <c r="F144" s="7"/>
      <c r="G144" s="74"/>
      <c r="H144" s="7"/>
      <c r="I144" s="7"/>
      <c r="J144" s="7"/>
    </row>
    <row r="145" spans="1:10">
      <c r="A145" s="42" t="s">
        <v>445</v>
      </c>
      <c r="B145" s="34" t="s">
        <v>288</v>
      </c>
      <c r="C145" s="7">
        <v>8</v>
      </c>
      <c r="D145" s="7">
        <v>10</v>
      </c>
      <c r="E145" s="7">
        <v>15</v>
      </c>
      <c r="F145" s="7">
        <v>30</v>
      </c>
      <c r="G145" s="74">
        <f t="shared" si="6"/>
        <v>50</v>
      </c>
      <c r="H145" s="7">
        <f t="shared" si="7"/>
        <v>120</v>
      </c>
      <c r="I145" s="7">
        <f t="shared" si="8"/>
        <v>240</v>
      </c>
      <c r="J145" s="16">
        <v>594</v>
      </c>
    </row>
    <row r="146" spans="1:10">
      <c r="A146" s="42" t="s">
        <v>445</v>
      </c>
      <c r="B146" s="33" t="s">
        <v>287</v>
      </c>
      <c r="C146" s="7">
        <v>30</v>
      </c>
      <c r="D146" s="7">
        <v>10</v>
      </c>
      <c r="E146" s="7">
        <v>10</v>
      </c>
      <c r="F146" s="7">
        <v>20</v>
      </c>
      <c r="G146" s="74">
        <f t="shared" si="6"/>
        <v>50</v>
      </c>
      <c r="H146" s="7">
        <f t="shared" si="7"/>
        <v>300</v>
      </c>
      <c r="I146" s="7">
        <f t="shared" si="8"/>
        <v>600</v>
      </c>
      <c r="J146" s="16">
        <v>644</v>
      </c>
    </row>
    <row r="147" spans="1:10">
      <c r="A147" s="42" t="s">
        <v>611</v>
      </c>
      <c r="B147" s="33" t="s">
        <v>447</v>
      </c>
      <c r="C147" s="7">
        <v>14</v>
      </c>
      <c r="D147" s="7">
        <v>10</v>
      </c>
      <c r="E147" s="7">
        <v>14</v>
      </c>
      <c r="F147" s="7">
        <v>40</v>
      </c>
      <c r="G147" s="74">
        <f t="shared" si="6"/>
        <v>65</v>
      </c>
      <c r="H147" s="7">
        <f t="shared" si="7"/>
        <v>196</v>
      </c>
      <c r="I147" s="7">
        <f t="shared" si="8"/>
        <v>560</v>
      </c>
      <c r="J147" s="16">
        <v>644</v>
      </c>
    </row>
    <row r="148" spans="1:10">
      <c r="A148" s="42" t="s">
        <v>611</v>
      </c>
      <c r="B148" s="33" t="s">
        <v>448</v>
      </c>
      <c r="C148" s="7">
        <v>2</v>
      </c>
      <c r="D148" s="7">
        <v>10</v>
      </c>
      <c r="E148" s="7">
        <v>35</v>
      </c>
      <c r="F148" s="7">
        <v>60</v>
      </c>
      <c r="G148" s="74">
        <f t="shared" si="6"/>
        <v>41.666666666666664</v>
      </c>
      <c r="H148" s="7">
        <f t="shared" si="7"/>
        <v>70</v>
      </c>
      <c r="I148" s="7">
        <f t="shared" si="8"/>
        <v>120</v>
      </c>
      <c r="J148" s="16">
        <v>644</v>
      </c>
    </row>
    <row r="149" spans="1:10">
      <c r="A149" s="42" t="s">
        <v>445</v>
      </c>
      <c r="B149" s="33" t="s">
        <v>449</v>
      </c>
      <c r="C149" s="7">
        <v>20</v>
      </c>
      <c r="D149" s="7">
        <v>10</v>
      </c>
      <c r="E149" s="7">
        <v>15</v>
      </c>
      <c r="F149" s="7">
        <v>30</v>
      </c>
      <c r="G149" s="74">
        <f t="shared" si="6"/>
        <v>50</v>
      </c>
      <c r="H149" s="7">
        <f t="shared" si="7"/>
        <v>300</v>
      </c>
      <c r="I149" s="7">
        <f t="shared" si="8"/>
        <v>600</v>
      </c>
      <c r="J149" s="16">
        <v>644</v>
      </c>
    </row>
    <row r="150" spans="1:10">
      <c r="H150" s="53">
        <f>SUM(H2:H149)</f>
        <v>25600</v>
      </c>
      <c r="I150" s="53">
        <f>SUM(I2:I149)</f>
        <v>52950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4"/>
  <dimension ref="A1:L34"/>
  <sheetViews>
    <sheetView tabSelected="1" topLeftCell="A4" workbookViewId="0">
      <selection activeCell="C21" sqref="C21"/>
    </sheetView>
  </sheetViews>
  <sheetFormatPr defaultRowHeight="15"/>
  <cols>
    <col min="1" max="1" width="5.42578125" bestFit="1" customWidth="1"/>
    <col min="2" max="2" width="10.140625" bestFit="1" customWidth="1"/>
    <col min="3" max="3" width="33.7109375" style="37" customWidth="1"/>
    <col min="4" max="4" width="12.85546875" style="37" customWidth="1"/>
    <col min="5" max="5" width="14.85546875" style="37" customWidth="1"/>
    <col min="6" max="6" width="5" bestFit="1" customWidth="1"/>
    <col min="7" max="7" width="22.28515625" style="37" bestFit="1" customWidth="1"/>
    <col min="8" max="9" width="6" bestFit="1" customWidth="1"/>
    <col min="10" max="10" width="7.85546875" bestFit="1" customWidth="1"/>
    <col min="11" max="11" width="10.140625" bestFit="1" customWidth="1"/>
    <col min="12" max="12" width="41.5703125" style="37" customWidth="1"/>
  </cols>
  <sheetData>
    <row r="1" spans="1:12" ht="15.75" thickBot="1"/>
    <row r="2" spans="1:12" ht="15.75" thickBot="1">
      <c r="A2" s="19" t="s">
        <v>738</v>
      </c>
      <c r="B2" s="121" t="s">
        <v>728</v>
      </c>
      <c r="C2" s="127" t="s">
        <v>739</v>
      </c>
      <c r="D2" s="127" t="s">
        <v>740</v>
      </c>
      <c r="E2" s="127" t="s">
        <v>741</v>
      </c>
      <c r="F2" s="71" t="s">
        <v>742</v>
      </c>
      <c r="G2" s="127" t="s">
        <v>743</v>
      </c>
      <c r="H2" s="71" t="s">
        <v>722</v>
      </c>
      <c r="I2" s="71" t="s">
        <v>723</v>
      </c>
      <c r="J2" s="71" t="s">
        <v>724</v>
      </c>
      <c r="K2" s="134"/>
      <c r="L2" s="133" t="s">
        <v>804</v>
      </c>
    </row>
    <row r="3" spans="1:12" s="123" customFormat="1">
      <c r="A3" s="122">
        <v>1</v>
      </c>
      <c r="B3" s="122" t="s">
        <v>744</v>
      </c>
      <c r="C3" s="128" t="s">
        <v>745</v>
      </c>
      <c r="D3" s="128" t="s">
        <v>746</v>
      </c>
      <c r="E3" s="128" t="s">
        <v>785</v>
      </c>
      <c r="F3" s="122" t="s">
        <v>747</v>
      </c>
      <c r="G3" s="128">
        <v>7065209432</v>
      </c>
      <c r="H3" s="122">
        <v>8000</v>
      </c>
      <c r="I3" s="122">
        <f>4000+4000</f>
        <v>8000</v>
      </c>
      <c r="J3" s="122">
        <f>+H3-I3</f>
        <v>0</v>
      </c>
      <c r="K3" s="122" t="s">
        <v>822</v>
      </c>
      <c r="L3" s="128"/>
    </row>
    <row r="4" spans="1:12" s="100" customFormat="1">
      <c r="A4" s="72">
        <v>2</v>
      </c>
      <c r="B4" s="72"/>
      <c r="C4" s="129" t="s">
        <v>748</v>
      </c>
      <c r="D4" s="129" t="s">
        <v>749</v>
      </c>
      <c r="E4" s="129" t="s">
        <v>786</v>
      </c>
      <c r="F4" s="72" t="s">
        <v>747</v>
      </c>
      <c r="G4" s="129">
        <v>9523578989</v>
      </c>
      <c r="H4" s="72">
        <v>4200</v>
      </c>
      <c r="I4" s="72">
        <f>2000+1000</f>
        <v>3000</v>
      </c>
      <c r="J4" s="72">
        <f>+H4-I4</f>
        <v>1200</v>
      </c>
      <c r="K4" s="72"/>
      <c r="L4" s="129" t="s">
        <v>806</v>
      </c>
    </row>
    <row r="5" spans="1:12" s="100" customFormat="1">
      <c r="A5" s="72">
        <v>3</v>
      </c>
      <c r="B5" s="72"/>
      <c r="C5" s="129" t="s">
        <v>750</v>
      </c>
      <c r="D5" s="129" t="s">
        <v>751</v>
      </c>
      <c r="E5" s="129" t="s">
        <v>787</v>
      </c>
      <c r="F5" s="72" t="s">
        <v>747</v>
      </c>
      <c r="G5" s="129" t="s">
        <v>752</v>
      </c>
      <c r="H5" s="72">
        <v>3500</v>
      </c>
      <c r="I5" s="72">
        <v>3500</v>
      </c>
      <c r="J5" s="72">
        <f>+H5-I5</f>
        <v>0</v>
      </c>
      <c r="K5" s="72" t="s">
        <v>826</v>
      </c>
      <c r="L5" s="129"/>
    </row>
    <row r="6" spans="1:12" s="123" customFormat="1">
      <c r="A6" s="122">
        <v>4</v>
      </c>
      <c r="B6" s="122" t="s">
        <v>753</v>
      </c>
      <c r="C6" s="135" t="s">
        <v>754</v>
      </c>
      <c r="D6" s="135" t="s">
        <v>755</v>
      </c>
      <c r="E6" s="128" t="s">
        <v>788</v>
      </c>
      <c r="F6" s="136" t="s">
        <v>756</v>
      </c>
      <c r="G6" s="135">
        <v>8527315293</v>
      </c>
      <c r="H6" s="136">
        <v>7300</v>
      </c>
      <c r="I6" s="136">
        <f>4000+3150+150</f>
        <v>7300</v>
      </c>
      <c r="J6" s="122">
        <f t="shared" ref="J6:J33" si="0">+H6-I6</f>
        <v>0</v>
      </c>
      <c r="K6" s="122" t="s">
        <v>826</v>
      </c>
      <c r="L6" s="135"/>
    </row>
    <row r="7" spans="1:12">
      <c r="A7" s="72">
        <v>5</v>
      </c>
      <c r="B7" s="18" t="s">
        <v>757</v>
      </c>
      <c r="C7" s="32" t="s">
        <v>758</v>
      </c>
      <c r="D7" s="32" t="s">
        <v>759</v>
      </c>
      <c r="E7" s="32" t="s">
        <v>792</v>
      </c>
      <c r="F7" s="7" t="s">
        <v>747</v>
      </c>
      <c r="G7" s="32">
        <v>9810887178</v>
      </c>
      <c r="H7" s="7">
        <v>4200</v>
      </c>
      <c r="I7" s="7">
        <v>4200</v>
      </c>
      <c r="J7" s="18">
        <f t="shared" si="0"/>
        <v>0</v>
      </c>
      <c r="K7" s="18" t="s">
        <v>821</v>
      </c>
      <c r="L7" s="32"/>
    </row>
    <row r="8" spans="1:12">
      <c r="A8" s="72">
        <v>6</v>
      </c>
      <c r="B8" s="18"/>
      <c r="C8" s="32" t="s">
        <v>760</v>
      </c>
      <c r="D8" s="32" t="s">
        <v>761</v>
      </c>
      <c r="E8" s="32" t="s">
        <v>792</v>
      </c>
      <c r="F8" s="7" t="s">
        <v>44</v>
      </c>
      <c r="G8" s="32" t="s">
        <v>762</v>
      </c>
      <c r="H8" s="7">
        <v>5000</v>
      </c>
      <c r="I8" s="7">
        <f>500+2000</f>
        <v>2500</v>
      </c>
      <c r="J8" s="18">
        <f t="shared" si="0"/>
        <v>2500</v>
      </c>
      <c r="K8" s="18"/>
      <c r="L8" s="32"/>
    </row>
    <row r="9" spans="1:12" s="123" customFormat="1">
      <c r="A9" s="122">
        <v>7</v>
      </c>
      <c r="B9" s="122"/>
      <c r="C9" s="135" t="s">
        <v>763</v>
      </c>
      <c r="D9" s="135" t="s">
        <v>764</v>
      </c>
      <c r="E9" s="135"/>
      <c r="F9" s="136" t="s">
        <v>44</v>
      </c>
      <c r="G9" s="135">
        <v>9810940227</v>
      </c>
      <c r="H9" s="136">
        <v>1500</v>
      </c>
      <c r="I9" s="136">
        <v>1500</v>
      </c>
      <c r="J9" s="122">
        <f t="shared" si="0"/>
        <v>0</v>
      </c>
      <c r="K9" s="122" t="s">
        <v>826</v>
      </c>
      <c r="L9" s="135"/>
    </row>
    <row r="10" spans="1:12">
      <c r="A10" s="72">
        <v>8</v>
      </c>
      <c r="B10" s="18"/>
      <c r="C10" s="32" t="s">
        <v>765</v>
      </c>
      <c r="D10" s="32" t="s">
        <v>766</v>
      </c>
      <c r="E10" s="129" t="s">
        <v>787</v>
      </c>
      <c r="F10" s="7" t="s">
        <v>747</v>
      </c>
      <c r="G10" s="32" t="s">
        <v>767</v>
      </c>
      <c r="H10" s="7">
        <v>3500</v>
      </c>
      <c r="I10" s="7">
        <v>1000</v>
      </c>
      <c r="J10" s="18">
        <f t="shared" si="0"/>
        <v>2500</v>
      </c>
      <c r="K10" s="18"/>
      <c r="L10" s="32"/>
    </row>
    <row r="11" spans="1:12">
      <c r="A11" s="72">
        <v>9</v>
      </c>
      <c r="B11" s="18"/>
      <c r="C11" s="32" t="s">
        <v>768</v>
      </c>
      <c r="D11" s="32" t="s">
        <v>769</v>
      </c>
      <c r="E11" s="32" t="s">
        <v>789</v>
      </c>
      <c r="F11" s="7" t="s">
        <v>44</v>
      </c>
      <c r="G11" s="32" t="s">
        <v>770</v>
      </c>
      <c r="H11" s="7">
        <v>3500</v>
      </c>
      <c r="I11" s="7">
        <f>500+1000</f>
        <v>1500</v>
      </c>
      <c r="J11" s="18">
        <f t="shared" si="0"/>
        <v>2000</v>
      </c>
      <c r="K11" s="18"/>
      <c r="L11" s="32"/>
    </row>
    <row r="12" spans="1:12" s="123" customFormat="1">
      <c r="A12" s="122">
        <v>10</v>
      </c>
      <c r="B12" s="122"/>
      <c r="C12" s="135" t="s">
        <v>771</v>
      </c>
      <c r="D12" s="135" t="s">
        <v>772</v>
      </c>
      <c r="E12" s="135" t="s">
        <v>790</v>
      </c>
      <c r="F12" s="136" t="s">
        <v>44</v>
      </c>
      <c r="G12" s="135">
        <v>9560932590</v>
      </c>
      <c r="H12" s="136">
        <v>1500</v>
      </c>
      <c r="I12" s="136">
        <v>1500</v>
      </c>
      <c r="J12" s="122">
        <f t="shared" si="0"/>
        <v>0</v>
      </c>
      <c r="K12" s="122"/>
      <c r="L12" s="135"/>
    </row>
    <row r="13" spans="1:12">
      <c r="A13" s="72">
        <v>11</v>
      </c>
      <c r="B13" s="18"/>
      <c r="C13" s="32" t="s">
        <v>773</v>
      </c>
      <c r="D13" s="32" t="s">
        <v>774</v>
      </c>
      <c r="E13" s="32" t="s">
        <v>789</v>
      </c>
      <c r="F13" s="7" t="s">
        <v>747</v>
      </c>
      <c r="G13" s="32" t="s">
        <v>775</v>
      </c>
      <c r="H13" s="7">
        <v>3400</v>
      </c>
      <c r="I13" s="7">
        <v>1850</v>
      </c>
      <c r="J13" s="18">
        <f t="shared" si="0"/>
        <v>1550</v>
      </c>
      <c r="K13" s="18"/>
      <c r="L13" s="32"/>
    </row>
    <row r="14" spans="1:12">
      <c r="A14" s="72">
        <v>12</v>
      </c>
      <c r="B14" s="18" t="s">
        <v>731</v>
      </c>
      <c r="C14" s="32" t="s">
        <v>776</v>
      </c>
      <c r="D14" s="32" t="s">
        <v>777</v>
      </c>
      <c r="E14" s="129" t="s">
        <v>791</v>
      </c>
      <c r="F14" s="7" t="s">
        <v>747</v>
      </c>
      <c r="G14" s="32" t="s">
        <v>778</v>
      </c>
      <c r="H14" s="7">
        <v>2200</v>
      </c>
      <c r="I14" s="7">
        <f>1000+800</f>
        <v>1800</v>
      </c>
      <c r="J14" s="18">
        <f t="shared" si="0"/>
        <v>400</v>
      </c>
      <c r="K14" s="18"/>
      <c r="L14" s="32"/>
    </row>
    <row r="15" spans="1:12">
      <c r="A15" s="72">
        <v>13</v>
      </c>
      <c r="B15" s="18" t="s">
        <v>731</v>
      </c>
      <c r="C15" s="32" t="s">
        <v>779</v>
      </c>
      <c r="D15" s="32" t="s">
        <v>780</v>
      </c>
      <c r="E15" s="129" t="s">
        <v>787</v>
      </c>
      <c r="F15" s="7" t="s">
        <v>44</v>
      </c>
      <c r="G15" s="32" t="s">
        <v>781</v>
      </c>
      <c r="H15" s="7">
        <v>3500</v>
      </c>
      <c r="I15" s="7">
        <v>1500</v>
      </c>
      <c r="J15" s="18">
        <f t="shared" si="0"/>
        <v>2000</v>
      </c>
      <c r="K15" s="18" t="s">
        <v>826</v>
      </c>
      <c r="L15" s="32"/>
    </row>
    <row r="16" spans="1:12" s="123" customFormat="1">
      <c r="A16" s="122">
        <v>14</v>
      </c>
      <c r="B16" s="122" t="s">
        <v>782</v>
      </c>
      <c r="C16" s="135" t="s">
        <v>783</v>
      </c>
      <c r="D16" s="135" t="s">
        <v>784</v>
      </c>
      <c r="E16" s="135" t="s">
        <v>785</v>
      </c>
      <c r="F16" s="136" t="s">
        <v>44</v>
      </c>
      <c r="G16" s="135">
        <v>8447966096</v>
      </c>
      <c r="H16" s="136">
        <v>2800</v>
      </c>
      <c r="I16" s="136">
        <f>600+1400</f>
        <v>2000</v>
      </c>
      <c r="J16" s="122">
        <f t="shared" si="0"/>
        <v>800</v>
      </c>
      <c r="K16" s="122" t="s">
        <v>811</v>
      </c>
      <c r="L16" s="135"/>
    </row>
    <row r="17" spans="1:12">
      <c r="A17" s="72">
        <v>15</v>
      </c>
      <c r="B17" s="18" t="s">
        <v>793</v>
      </c>
      <c r="C17" s="32" t="s">
        <v>796</v>
      </c>
      <c r="D17" s="32" t="s">
        <v>794</v>
      </c>
      <c r="E17" s="32" t="s">
        <v>791</v>
      </c>
      <c r="F17" s="7" t="s">
        <v>44</v>
      </c>
      <c r="G17" s="32" t="s">
        <v>795</v>
      </c>
      <c r="H17" s="7">
        <v>4500</v>
      </c>
      <c r="I17" s="7">
        <f>500+1500</f>
        <v>2000</v>
      </c>
      <c r="J17" s="18">
        <f t="shared" si="0"/>
        <v>2500</v>
      </c>
      <c r="K17" s="18"/>
      <c r="L17" s="32"/>
    </row>
    <row r="18" spans="1:12">
      <c r="A18" s="72">
        <v>16</v>
      </c>
      <c r="B18" s="18" t="s">
        <v>793</v>
      </c>
      <c r="C18" s="32" t="s">
        <v>797</v>
      </c>
      <c r="D18" s="32" t="s">
        <v>798</v>
      </c>
      <c r="E18" s="32" t="s">
        <v>789</v>
      </c>
      <c r="F18" s="7" t="s">
        <v>44</v>
      </c>
      <c r="G18" s="32" t="s">
        <v>799</v>
      </c>
      <c r="H18" s="7">
        <v>4200</v>
      </c>
      <c r="I18" s="7">
        <f>1000+1000+2000</f>
        <v>4000</v>
      </c>
      <c r="J18" s="18">
        <f t="shared" si="0"/>
        <v>200</v>
      </c>
      <c r="K18" s="18"/>
      <c r="L18" s="32" t="s">
        <v>805</v>
      </c>
    </row>
    <row r="19" spans="1:12">
      <c r="A19" s="72">
        <v>17</v>
      </c>
      <c r="B19" s="18" t="s">
        <v>800</v>
      </c>
      <c r="C19" s="32" t="s">
        <v>801</v>
      </c>
      <c r="D19" s="32" t="s">
        <v>802</v>
      </c>
      <c r="E19" s="32"/>
      <c r="F19" s="7" t="s">
        <v>44</v>
      </c>
      <c r="G19" s="32" t="s">
        <v>803</v>
      </c>
      <c r="H19" s="7">
        <v>2200</v>
      </c>
      <c r="I19" s="7">
        <v>2200</v>
      </c>
      <c r="J19" s="18">
        <f t="shared" si="0"/>
        <v>0</v>
      </c>
      <c r="K19" s="18"/>
      <c r="L19" s="32"/>
    </row>
    <row r="20" spans="1:12" s="123" customFormat="1">
      <c r="A20" s="122">
        <v>18</v>
      </c>
      <c r="B20" s="122" t="s">
        <v>807</v>
      </c>
      <c r="C20" s="135" t="s">
        <v>808</v>
      </c>
      <c r="D20" s="135" t="s">
        <v>809</v>
      </c>
      <c r="E20" s="135" t="s">
        <v>810</v>
      </c>
      <c r="F20" s="136" t="s">
        <v>747</v>
      </c>
      <c r="G20" s="135">
        <v>9891018510</v>
      </c>
      <c r="H20" s="136">
        <v>3500</v>
      </c>
      <c r="I20" s="136">
        <f>500+3000</f>
        <v>3500</v>
      </c>
      <c r="J20" s="122">
        <f t="shared" si="0"/>
        <v>0</v>
      </c>
      <c r="K20" s="122" t="s">
        <v>823</v>
      </c>
      <c r="L20" s="135"/>
    </row>
    <row r="21" spans="1:12">
      <c r="A21" s="72">
        <v>19</v>
      </c>
      <c r="B21" s="18" t="s">
        <v>811</v>
      </c>
      <c r="C21" s="32" t="s">
        <v>814</v>
      </c>
      <c r="D21" s="32" t="s">
        <v>812</v>
      </c>
      <c r="E21" s="32" t="s">
        <v>792</v>
      </c>
      <c r="F21" s="7" t="s">
        <v>747</v>
      </c>
      <c r="G21" s="32" t="s">
        <v>813</v>
      </c>
      <c r="H21" s="7">
        <v>2800</v>
      </c>
      <c r="I21" s="7">
        <v>500</v>
      </c>
      <c r="J21" s="18">
        <f t="shared" si="0"/>
        <v>2300</v>
      </c>
      <c r="K21" s="18" t="s">
        <v>827</v>
      </c>
      <c r="L21" s="32"/>
    </row>
    <row r="22" spans="1:12">
      <c r="A22" s="72">
        <v>20</v>
      </c>
      <c r="B22" s="18" t="s">
        <v>811</v>
      </c>
      <c r="C22" s="32" t="s">
        <v>817</v>
      </c>
      <c r="D22" s="32" t="s">
        <v>818</v>
      </c>
      <c r="E22" s="129" t="s">
        <v>791</v>
      </c>
      <c r="F22" s="7" t="s">
        <v>44</v>
      </c>
      <c r="G22" s="32" t="s">
        <v>819</v>
      </c>
      <c r="H22" s="7">
        <v>5500</v>
      </c>
      <c r="I22" s="7">
        <v>1000</v>
      </c>
      <c r="J22" s="18">
        <f t="shared" si="0"/>
        <v>4500</v>
      </c>
      <c r="K22" s="18"/>
      <c r="L22" s="32" t="s">
        <v>820</v>
      </c>
    </row>
    <row r="23" spans="1:12">
      <c r="A23" s="72">
        <v>21</v>
      </c>
      <c r="B23" s="18" t="s">
        <v>826</v>
      </c>
      <c r="C23" s="32" t="s">
        <v>828</v>
      </c>
      <c r="D23" s="32" t="s">
        <v>829</v>
      </c>
      <c r="E23" s="32" t="s">
        <v>792</v>
      </c>
      <c r="F23" s="7"/>
      <c r="G23" s="32" t="s">
        <v>830</v>
      </c>
      <c r="H23" s="7">
        <v>3500</v>
      </c>
      <c r="I23" s="7">
        <v>2000</v>
      </c>
      <c r="J23" s="18">
        <f t="shared" si="0"/>
        <v>1500</v>
      </c>
      <c r="K23" s="18" t="s">
        <v>821</v>
      </c>
      <c r="L23" s="32"/>
    </row>
    <row r="24" spans="1:12">
      <c r="A24" s="72">
        <v>22</v>
      </c>
      <c r="B24" s="18" t="s">
        <v>831</v>
      </c>
      <c r="C24" s="32" t="s">
        <v>832</v>
      </c>
      <c r="D24" s="32" t="s">
        <v>833</v>
      </c>
      <c r="E24" s="32" t="s">
        <v>787</v>
      </c>
      <c r="F24" s="7"/>
      <c r="G24" s="32">
        <v>8174038495</v>
      </c>
      <c r="H24" s="7">
        <v>5500</v>
      </c>
      <c r="I24" s="7">
        <v>2000</v>
      </c>
      <c r="J24" s="18">
        <f t="shared" si="0"/>
        <v>3500</v>
      </c>
      <c r="K24" s="18" t="s">
        <v>834</v>
      </c>
      <c r="L24" s="32"/>
    </row>
    <row r="25" spans="1:12">
      <c r="A25" s="72">
        <v>23</v>
      </c>
      <c r="B25" s="18"/>
      <c r="C25" s="32"/>
      <c r="D25" s="32"/>
      <c r="E25" s="32"/>
      <c r="F25" s="7"/>
      <c r="G25" s="32"/>
      <c r="H25" s="7"/>
      <c r="I25" s="7"/>
      <c r="J25" s="18">
        <f t="shared" si="0"/>
        <v>0</v>
      </c>
      <c r="K25" s="18"/>
      <c r="L25" s="32"/>
    </row>
    <row r="26" spans="1:12">
      <c r="A26" s="72">
        <v>24</v>
      </c>
      <c r="B26" s="18"/>
      <c r="C26" s="32"/>
      <c r="D26" s="32"/>
      <c r="E26" s="32"/>
      <c r="F26" s="7"/>
      <c r="G26" s="32"/>
      <c r="H26" s="7"/>
      <c r="I26" s="7"/>
      <c r="J26" s="18">
        <f t="shared" si="0"/>
        <v>0</v>
      </c>
      <c r="K26" s="18"/>
      <c r="L26" s="32"/>
    </row>
    <row r="27" spans="1:12">
      <c r="A27" s="72">
        <v>25</v>
      </c>
      <c r="B27" s="18"/>
      <c r="C27" s="32"/>
      <c r="D27" s="32"/>
      <c r="E27" s="32"/>
      <c r="F27" s="7"/>
      <c r="G27" s="32"/>
      <c r="H27" s="7"/>
      <c r="I27" s="7"/>
      <c r="J27" s="18">
        <f t="shared" si="0"/>
        <v>0</v>
      </c>
      <c r="K27" s="18"/>
      <c r="L27" s="32"/>
    </row>
    <row r="28" spans="1:12">
      <c r="A28" s="72"/>
      <c r="B28" s="18"/>
      <c r="C28" s="32"/>
      <c r="D28" s="32"/>
      <c r="E28" s="32"/>
      <c r="F28" s="7"/>
      <c r="G28" s="32"/>
      <c r="H28" s="7"/>
      <c r="I28" s="7"/>
      <c r="J28" s="18">
        <f t="shared" si="0"/>
        <v>0</v>
      </c>
      <c r="K28" s="18"/>
      <c r="L28" s="32"/>
    </row>
    <row r="29" spans="1:12">
      <c r="A29" s="72"/>
      <c r="B29" s="18"/>
      <c r="C29" s="32"/>
      <c r="D29" s="32"/>
      <c r="E29" s="32"/>
      <c r="F29" s="7"/>
      <c r="G29" s="32"/>
      <c r="H29" s="7"/>
      <c r="I29" s="7"/>
      <c r="J29" s="18">
        <f t="shared" si="0"/>
        <v>0</v>
      </c>
      <c r="K29" s="18"/>
      <c r="L29" s="32"/>
    </row>
    <row r="30" spans="1:12">
      <c r="A30" s="72"/>
      <c r="B30" s="18"/>
      <c r="C30" s="32"/>
      <c r="D30" s="32"/>
      <c r="E30" s="32"/>
      <c r="F30" s="7"/>
      <c r="G30" s="32"/>
      <c r="H30" s="7"/>
      <c r="I30" s="7"/>
      <c r="J30" s="18">
        <f t="shared" si="0"/>
        <v>0</v>
      </c>
      <c r="K30" s="18"/>
      <c r="L30" s="32"/>
    </row>
    <row r="31" spans="1:12">
      <c r="A31" s="72"/>
      <c r="B31" s="18"/>
      <c r="C31" s="32"/>
      <c r="D31" s="32"/>
      <c r="E31" s="32"/>
      <c r="F31" s="7"/>
      <c r="G31" s="32"/>
      <c r="H31" s="7"/>
      <c r="I31" s="7"/>
      <c r="J31" s="18">
        <f t="shared" si="0"/>
        <v>0</v>
      </c>
      <c r="K31" s="18"/>
      <c r="L31" s="32"/>
    </row>
    <row r="32" spans="1:12">
      <c r="A32" s="72"/>
      <c r="B32" s="18"/>
      <c r="C32" s="32"/>
      <c r="D32" s="32"/>
      <c r="E32" s="32"/>
      <c r="F32" s="7"/>
      <c r="G32" s="32"/>
      <c r="H32" s="7"/>
      <c r="I32" s="7"/>
      <c r="J32" s="18">
        <f t="shared" si="0"/>
        <v>0</v>
      </c>
      <c r="K32" s="18"/>
      <c r="L32" s="32"/>
    </row>
    <row r="33" spans="1:12">
      <c r="A33" s="72"/>
      <c r="B33" s="18"/>
      <c r="C33" s="32"/>
      <c r="D33" s="32"/>
      <c r="E33" s="32"/>
      <c r="F33" s="7"/>
      <c r="G33" s="32"/>
      <c r="H33" s="7"/>
      <c r="I33" s="7"/>
      <c r="J33" s="18">
        <f t="shared" si="0"/>
        <v>0</v>
      </c>
      <c r="K33" s="18"/>
      <c r="L33" s="32"/>
    </row>
    <row r="34" spans="1:12">
      <c r="A34" s="18"/>
      <c r="B34" s="18"/>
      <c r="C34" s="28" t="s">
        <v>722</v>
      </c>
      <c r="D34" s="32"/>
      <c r="E34" s="32"/>
      <c r="F34" s="7"/>
      <c r="G34" s="32"/>
      <c r="H34" s="5">
        <f>SUM(H3:H33)</f>
        <v>85800</v>
      </c>
      <c r="I34" s="5">
        <f>SUM(I3:I33)</f>
        <v>58350</v>
      </c>
      <c r="J34" s="130">
        <f>SUM(J3:J33)</f>
        <v>27450</v>
      </c>
      <c r="K34" s="130"/>
      <c r="L34" s="32"/>
    </row>
  </sheetData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:K37"/>
  <sheetViews>
    <sheetView workbookViewId="0">
      <selection activeCell="F15" sqref="F15"/>
    </sheetView>
  </sheetViews>
  <sheetFormatPr defaultRowHeight="15"/>
  <cols>
    <col min="2" max="2" width="13.5703125" bestFit="1" customWidth="1"/>
    <col min="5" max="5" width="3.42578125" customWidth="1"/>
    <col min="6" max="6" width="22.42578125" bestFit="1" customWidth="1"/>
    <col min="7" max="7" width="26.5703125" bestFit="1" customWidth="1"/>
    <col min="9" max="9" width="3.42578125" customWidth="1"/>
    <col min="10" max="10" width="10.140625" bestFit="1" customWidth="1"/>
  </cols>
  <sheetData>
    <row r="1" spans="2:11" ht="19.5" thickBot="1">
      <c r="B1" s="137" t="s">
        <v>721</v>
      </c>
      <c r="C1" s="138"/>
      <c r="D1" s="100"/>
      <c r="E1" s="100"/>
      <c r="F1" s="100"/>
      <c r="H1" s="100"/>
      <c r="I1" s="100"/>
      <c r="J1" s="100"/>
    </row>
    <row r="2" spans="2:11">
      <c r="B2" s="131" t="s">
        <v>722</v>
      </c>
      <c r="C2" s="132">
        <f>+D35+H35</f>
        <v>3170</v>
      </c>
      <c r="D2" s="100"/>
      <c r="E2" s="100"/>
      <c r="F2" s="100"/>
      <c r="H2" s="100"/>
      <c r="I2" s="100"/>
      <c r="J2" s="100"/>
    </row>
    <row r="3" spans="2:11">
      <c r="B3" s="101" t="s">
        <v>723</v>
      </c>
      <c r="C3" s="86">
        <f>K35</f>
        <v>1000</v>
      </c>
      <c r="D3" s="100"/>
      <c r="E3" s="100"/>
      <c r="F3" s="100"/>
      <c r="H3" s="100"/>
      <c r="I3" s="100"/>
      <c r="J3" s="100"/>
    </row>
    <row r="4" spans="2:11" ht="15.75" thickBot="1">
      <c r="B4" s="102" t="s">
        <v>724</v>
      </c>
      <c r="C4" s="103">
        <f>+C2-C3</f>
        <v>2170</v>
      </c>
      <c r="D4" s="100"/>
      <c r="E4" s="100"/>
      <c r="F4" s="100"/>
      <c r="H4" s="100"/>
      <c r="I4" s="100"/>
      <c r="J4" s="100"/>
    </row>
    <row r="5" spans="2:11" ht="15.75" thickBot="1">
      <c r="D5" s="100"/>
      <c r="E5" s="100"/>
      <c r="F5" s="100"/>
      <c r="H5" s="100"/>
      <c r="I5" s="100"/>
      <c r="J5" s="100"/>
    </row>
    <row r="6" spans="2:11" ht="15.75" thickBot="1">
      <c r="B6" s="19" t="s">
        <v>633</v>
      </c>
      <c r="C6" s="71" t="s">
        <v>636</v>
      </c>
      <c r="D6" s="49" t="s">
        <v>725</v>
      </c>
      <c r="E6" s="104"/>
      <c r="F6" s="19" t="s">
        <v>726</v>
      </c>
      <c r="G6" s="71" t="s">
        <v>727</v>
      </c>
      <c r="H6" s="49" t="s">
        <v>725</v>
      </c>
      <c r="I6" s="105"/>
      <c r="J6" s="19" t="s">
        <v>728</v>
      </c>
      <c r="K6" s="49" t="s">
        <v>723</v>
      </c>
    </row>
    <row r="7" spans="2:11">
      <c r="B7" s="106" t="s">
        <v>670</v>
      </c>
      <c r="C7" s="18">
        <v>1</v>
      </c>
      <c r="D7" s="107">
        <v>350</v>
      </c>
      <c r="E7" s="108"/>
      <c r="F7" s="106" t="s">
        <v>729</v>
      </c>
      <c r="G7" s="18" t="s">
        <v>730</v>
      </c>
      <c r="H7" s="107">
        <v>500</v>
      </c>
      <c r="I7" s="109"/>
      <c r="J7" s="18" t="s">
        <v>731</v>
      </c>
      <c r="K7" s="18">
        <v>1000</v>
      </c>
    </row>
    <row r="8" spans="2:11">
      <c r="B8" s="110" t="s">
        <v>732</v>
      </c>
      <c r="C8" s="7">
        <v>3</v>
      </c>
      <c r="D8" s="111">
        <v>90</v>
      </c>
      <c r="E8" s="108"/>
      <c r="F8" s="110" t="s">
        <v>733</v>
      </c>
      <c r="G8" s="7" t="s">
        <v>730</v>
      </c>
      <c r="H8" s="111">
        <v>500</v>
      </c>
      <c r="I8" s="109"/>
      <c r="J8" s="7"/>
      <c r="K8" s="7"/>
    </row>
    <row r="9" spans="2:11">
      <c r="B9" s="110">
        <v>7474</v>
      </c>
      <c r="C9" s="7">
        <v>2</v>
      </c>
      <c r="D9" s="111">
        <v>50</v>
      </c>
      <c r="E9" s="108"/>
      <c r="F9" s="110" t="s">
        <v>734</v>
      </c>
      <c r="G9" s="7" t="s">
        <v>735</v>
      </c>
      <c r="H9" s="111">
        <v>500</v>
      </c>
      <c r="I9" s="109"/>
      <c r="J9" s="7"/>
      <c r="K9" s="7"/>
    </row>
    <row r="10" spans="2:11">
      <c r="B10" s="110" t="s">
        <v>150</v>
      </c>
      <c r="C10" s="7">
        <v>2</v>
      </c>
      <c r="D10" s="111">
        <v>120</v>
      </c>
      <c r="E10" s="108"/>
      <c r="F10" s="110" t="s">
        <v>736</v>
      </c>
      <c r="G10" s="7" t="s">
        <v>737</v>
      </c>
      <c r="H10" s="111">
        <v>870</v>
      </c>
      <c r="I10" s="109"/>
      <c r="J10" s="7"/>
      <c r="K10" s="7"/>
    </row>
    <row r="11" spans="2:11">
      <c r="B11" s="110" t="s">
        <v>732</v>
      </c>
      <c r="C11" s="7">
        <v>2</v>
      </c>
      <c r="D11" s="111">
        <v>60</v>
      </c>
      <c r="E11" s="108"/>
      <c r="F11" s="110"/>
      <c r="G11" s="7"/>
      <c r="H11" s="111"/>
      <c r="I11" s="109"/>
      <c r="J11" s="7"/>
      <c r="K11" s="7"/>
    </row>
    <row r="12" spans="2:11">
      <c r="B12" s="110" t="s">
        <v>815</v>
      </c>
      <c r="C12" s="7">
        <v>3</v>
      </c>
      <c r="D12" s="111">
        <v>90</v>
      </c>
      <c r="E12" s="108"/>
      <c r="F12" s="110"/>
      <c r="G12" s="7"/>
      <c r="H12" s="111"/>
      <c r="I12" s="109"/>
      <c r="J12" s="7"/>
      <c r="K12" s="7"/>
    </row>
    <row r="13" spans="2:11">
      <c r="B13" s="110" t="s">
        <v>816</v>
      </c>
      <c r="C13" s="7">
        <v>2</v>
      </c>
      <c r="D13" s="111">
        <v>10</v>
      </c>
      <c r="E13" s="108"/>
      <c r="F13" s="110"/>
      <c r="G13" s="7"/>
      <c r="H13" s="111"/>
      <c r="I13" s="109"/>
      <c r="J13" s="7"/>
      <c r="K13" s="7"/>
    </row>
    <row r="14" spans="2:11">
      <c r="B14" s="110" t="s">
        <v>142</v>
      </c>
      <c r="C14" s="7">
        <v>3</v>
      </c>
      <c r="D14" s="111">
        <v>30</v>
      </c>
      <c r="E14" s="108"/>
      <c r="F14" s="110"/>
      <c r="G14" s="7"/>
      <c r="H14" s="111"/>
      <c r="I14" s="109"/>
      <c r="J14" s="7"/>
      <c r="K14" s="7"/>
    </row>
    <row r="15" spans="2:11">
      <c r="B15" s="110"/>
      <c r="C15" s="7"/>
      <c r="D15" s="111"/>
      <c r="E15" s="108"/>
      <c r="F15" s="110"/>
      <c r="G15" s="7"/>
      <c r="H15" s="111"/>
      <c r="I15" s="109"/>
      <c r="J15" s="7"/>
      <c r="K15" s="7"/>
    </row>
    <row r="16" spans="2:11">
      <c r="B16" s="110"/>
      <c r="C16" s="7"/>
      <c r="D16" s="111"/>
      <c r="E16" s="108"/>
      <c r="F16" s="110"/>
      <c r="G16" s="7"/>
      <c r="H16" s="111"/>
      <c r="I16" s="109"/>
      <c r="J16" s="7"/>
      <c r="K16" s="7"/>
    </row>
    <row r="17" spans="2:11">
      <c r="B17" s="110"/>
      <c r="C17" s="7"/>
      <c r="D17" s="111"/>
      <c r="E17" s="108"/>
      <c r="F17" s="110"/>
      <c r="G17" s="7"/>
      <c r="H17" s="111"/>
      <c r="I17" s="109"/>
      <c r="J17" s="7"/>
      <c r="K17" s="7"/>
    </row>
    <row r="18" spans="2:11">
      <c r="B18" s="110"/>
      <c r="C18" s="7"/>
      <c r="D18" s="111"/>
      <c r="E18" s="108"/>
      <c r="F18" s="110"/>
      <c r="G18" s="7"/>
      <c r="H18" s="111"/>
      <c r="I18" s="109"/>
      <c r="J18" s="7"/>
      <c r="K18" s="7"/>
    </row>
    <row r="19" spans="2:11">
      <c r="B19" s="110"/>
      <c r="C19" s="7"/>
      <c r="D19" s="111"/>
      <c r="E19" s="108"/>
      <c r="F19" s="110"/>
      <c r="G19" s="7"/>
      <c r="H19" s="111"/>
      <c r="I19" s="109"/>
      <c r="J19" s="7"/>
      <c r="K19" s="7"/>
    </row>
    <row r="20" spans="2:11">
      <c r="B20" s="110"/>
      <c r="C20" s="7"/>
      <c r="D20" s="111"/>
      <c r="E20" s="108"/>
      <c r="F20" s="110"/>
      <c r="G20" s="7"/>
      <c r="H20" s="111"/>
      <c r="I20" s="109"/>
      <c r="J20" s="7"/>
      <c r="K20" s="7"/>
    </row>
    <row r="21" spans="2:11">
      <c r="B21" s="110"/>
      <c r="C21" s="7"/>
      <c r="D21" s="111"/>
      <c r="E21" s="108"/>
      <c r="F21" s="110"/>
      <c r="G21" s="7"/>
      <c r="H21" s="111"/>
      <c r="I21" s="109"/>
      <c r="J21" s="7"/>
      <c r="K21" s="7"/>
    </row>
    <row r="22" spans="2:11">
      <c r="B22" s="110"/>
      <c r="C22" s="7"/>
      <c r="D22" s="111"/>
      <c r="E22" s="108"/>
      <c r="F22" s="110"/>
      <c r="G22" s="7"/>
      <c r="H22" s="111"/>
      <c r="I22" s="109"/>
      <c r="J22" s="7"/>
      <c r="K22" s="7"/>
    </row>
    <row r="23" spans="2:11">
      <c r="B23" s="110"/>
      <c r="C23" s="7"/>
      <c r="D23" s="111"/>
      <c r="E23" s="108"/>
      <c r="F23" s="110"/>
      <c r="G23" s="7"/>
      <c r="H23" s="111"/>
      <c r="I23" s="109"/>
      <c r="J23" s="7"/>
      <c r="K23" s="7"/>
    </row>
    <row r="24" spans="2:11">
      <c r="B24" s="110"/>
      <c r="C24" s="7"/>
      <c r="D24" s="111"/>
      <c r="E24" s="108"/>
      <c r="F24" s="110"/>
      <c r="G24" s="7"/>
      <c r="H24" s="111"/>
      <c r="I24" s="109"/>
      <c r="J24" s="7"/>
      <c r="K24" s="7"/>
    </row>
    <row r="25" spans="2:11">
      <c r="B25" s="110"/>
      <c r="C25" s="7"/>
      <c r="D25" s="111"/>
      <c r="E25" s="108"/>
      <c r="F25" s="110"/>
      <c r="G25" s="7"/>
      <c r="H25" s="111"/>
      <c r="I25" s="109"/>
      <c r="J25" s="7"/>
      <c r="K25" s="7"/>
    </row>
    <row r="26" spans="2:11">
      <c r="B26" s="110"/>
      <c r="C26" s="7"/>
      <c r="D26" s="111"/>
      <c r="E26" s="108"/>
      <c r="F26" s="110"/>
      <c r="G26" s="7"/>
      <c r="H26" s="111"/>
      <c r="I26" s="109"/>
      <c r="J26" s="7"/>
      <c r="K26" s="7"/>
    </row>
    <row r="27" spans="2:11">
      <c r="B27" s="110"/>
      <c r="C27" s="7"/>
      <c r="D27" s="111"/>
      <c r="E27" s="108"/>
      <c r="F27" s="110"/>
      <c r="G27" s="7"/>
      <c r="H27" s="111"/>
      <c r="I27" s="109"/>
      <c r="J27" s="7"/>
      <c r="K27" s="7"/>
    </row>
    <row r="28" spans="2:11">
      <c r="B28" s="110"/>
      <c r="C28" s="7"/>
      <c r="D28" s="111"/>
      <c r="E28" s="108"/>
      <c r="F28" s="110"/>
      <c r="G28" s="7"/>
      <c r="H28" s="111"/>
      <c r="I28" s="109"/>
      <c r="J28" s="7"/>
      <c r="K28" s="7"/>
    </row>
    <row r="29" spans="2:11">
      <c r="B29" s="110"/>
      <c r="C29" s="7"/>
      <c r="D29" s="111"/>
      <c r="E29" s="108"/>
      <c r="F29" s="110"/>
      <c r="G29" s="7"/>
      <c r="H29" s="111"/>
      <c r="I29" s="109"/>
      <c r="J29" s="7"/>
      <c r="K29" s="7"/>
    </row>
    <row r="30" spans="2:11">
      <c r="B30" s="110"/>
      <c r="C30" s="7"/>
      <c r="D30" s="111"/>
      <c r="E30" s="108"/>
      <c r="F30" s="110"/>
      <c r="G30" s="7"/>
      <c r="H30" s="111"/>
      <c r="I30" s="109"/>
      <c r="J30" s="7"/>
      <c r="K30" s="7"/>
    </row>
    <row r="31" spans="2:11">
      <c r="B31" s="110"/>
      <c r="C31" s="7"/>
      <c r="D31" s="111"/>
      <c r="E31" s="108"/>
      <c r="F31" s="110"/>
      <c r="G31" s="7"/>
      <c r="H31" s="111"/>
      <c r="I31" s="109"/>
      <c r="J31" s="7"/>
      <c r="K31" s="7"/>
    </row>
    <row r="32" spans="2:11">
      <c r="B32" s="110"/>
      <c r="C32" s="7"/>
      <c r="D32" s="111"/>
      <c r="E32" s="108"/>
      <c r="F32" s="110"/>
      <c r="G32" s="7"/>
      <c r="H32" s="111"/>
      <c r="I32" s="109"/>
      <c r="J32" s="7"/>
      <c r="K32" s="7"/>
    </row>
    <row r="33" spans="1:11">
      <c r="B33" s="110"/>
      <c r="C33" s="7"/>
      <c r="D33" s="111"/>
      <c r="E33" s="108"/>
      <c r="F33" s="110"/>
      <c r="G33" s="7"/>
      <c r="H33" s="111"/>
      <c r="I33" s="109"/>
      <c r="J33" s="7"/>
      <c r="K33" s="7"/>
    </row>
    <row r="34" spans="1:11" ht="15.75" thickBot="1">
      <c r="B34" s="112"/>
      <c r="C34" s="30"/>
      <c r="D34" s="113"/>
      <c r="E34" s="114"/>
      <c r="F34" s="112"/>
      <c r="G34" s="30"/>
      <c r="H34" s="113"/>
      <c r="I34" s="115"/>
      <c r="J34" s="30"/>
      <c r="K34" s="30"/>
    </row>
    <row r="35" spans="1:11" ht="15.75" thickBot="1">
      <c r="A35" s="20" t="s">
        <v>722</v>
      </c>
      <c r="B35" s="116"/>
      <c r="C35" s="117"/>
      <c r="D35" s="118">
        <f>SUM(D7:D34)</f>
        <v>800</v>
      </c>
      <c r="E35" s="119"/>
      <c r="F35" s="116"/>
      <c r="G35" s="117"/>
      <c r="H35" s="118">
        <f>SUM(H7:H34)</f>
        <v>2370</v>
      </c>
      <c r="I35" s="120"/>
      <c r="J35" s="117"/>
      <c r="K35" s="118">
        <f>SUM(K7:K34)</f>
        <v>1000</v>
      </c>
    </row>
    <row r="36" spans="1:11">
      <c r="E36" s="100"/>
      <c r="I36" s="100"/>
    </row>
    <row r="37" spans="1:11">
      <c r="E37" s="100"/>
      <c r="I37" s="100"/>
    </row>
  </sheetData>
  <mergeCells count="1">
    <mergeCell ref="B1:C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B1:I60"/>
  <sheetViews>
    <sheetView topLeftCell="A25" workbookViewId="0">
      <selection activeCell="L55" sqref="L55"/>
    </sheetView>
  </sheetViews>
  <sheetFormatPr defaultRowHeight="15"/>
  <cols>
    <col min="1" max="1" width="3.28515625" customWidth="1"/>
    <col min="2" max="2" width="38" customWidth="1"/>
    <col min="3" max="3" width="10.7109375" bestFit="1" customWidth="1"/>
    <col min="4" max="4" width="10.140625" bestFit="1" customWidth="1"/>
    <col min="5" max="5" width="7.140625" customWidth="1"/>
    <col min="6" max="6" width="7.28515625" customWidth="1"/>
    <col min="7" max="7" width="12" style="8" customWidth="1"/>
    <col min="8" max="8" width="4" bestFit="1" customWidth="1"/>
    <col min="9" max="9" width="5" bestFit="1" customWidth="1"/>
  </cols>
  <sheetData>
    <row r="1" spans="2:9" ht="15.75" thickBot="1">
      <c r="B1" s="23" t="s">
        <v>494</v>
      </c>
      <c r="C1" s="61"/>
    </row>
    <row r="2" spans="2:9" ht="15.75" thickBot="1">
      <c r="B2" s="20" t="s">
        <v>537</v>
      </c>
      <c r="C2" s="64" t="s">
        <v>475</v>
      </c>
      <c r="D2" s="35" t="s">
        <v>538</v>
      </c>
      <c r="E2" s="19" t="s">
        <v>612</v>
      </c>
      <c r="F2" s="49" t="s">
        <v>613</v>
      </c>
      <c r="G2" s="35" t="s">
        <v>641</v>
      </c>
      <c r="H2" s="55" t="s">
        <v>614</v>
      </c>
      <c r="I2" s="56" t="s">
        <v>615</v>
      </c>
    </row>
    <row r="3" spans="2:9">
      <c r="B3" s="62" t="s">
        <v>505</v>
      </c>
      <c r="C3" s="7">
        <v>0</v>
      </c>
      <c r="D3" s="7">
        <v>5</v>
      </c>
      <c r="E3" s="7"/>
      <c r="F3" s="7">
        <v>100</v>
      </c>
      <c r="G3" s="74">
        <f>100-((E3/F3)*100)</f>
        <v>100</v>
      </c>
      <c r="H3" s="18">
        <f>+E3*C3</f>
        <v>0</v>
      </c>
      <c r="I3" s="18">
        <f>+F3*C3</f>
        <v>0</v>
      </c>
    </row>
    <row r="4" spans="2:9">
      <c r="B4" s="62" t="s">
        <v>693</v>
      </c>
      <c r="C4" s="7">
        <v>0</v>
      </c>
      <c r="D4" s="7">
        <v>5</v>
      </c>
      <c r="E4" s="18"/>
      <c r="F4" s="7">
        <v>100</v>
      </c>
      <c r="G4" s="74">
        <f t="shared" ref="G4:G5" si="0">100-((E4/F4)*100)</f>
        <v>100</v>
      </c>
      <c r="H4" s="18">
        <f t="shared" ref="H4:H5" si="1">+E4*C4</f>
        <v>0</v>
      </c>
      <c r="I4" s="18">
        <f t="shared" ref="I4:I5" si="2">+F4*C4</f>
        <v>0</v>
      </c>
    </row>
    <row r="5" spans="2:9">
      <c r="B5" s="62" t="s">
        <v>694</v>
      </c>
      <c r="C5" s="7">
        <v>3</v>
      </c>
      <c r="D5" s="7">
        <v>5</v>
      </c>
      <c r="E5" s="18"/>
      <c r="F5" s="7">
        <v>100</v>
      </c>
      <c r="G5" s="74">
        <f t="shared" si="0"/>
        <v>100</v>
      </c>
      <c r="H5" s="18">
        <f t="shared" si="1"/>
        <v>0</v>
      </c>
      <c r="I5" s="18">
        <f t="shared" si="2"/>
        <v>300</v>
      </c>
    </row>
    <row r="6" spans="2:9">
      <c r="B6" s="21" t="s">
        <v>490</v>
      </c>
      <c r="C6" s="18">
        <v>6</v>
      </c>
      <c r="D6" s="18">
        <v>5</v>
      </c>
      <c r="E6" s="18">
        <v>50</v>
      </c>
      <c r="F6" s="18">
        <v>200</v>
      </c>
      <c r="G6" s="74">
        <f>100-((E6/F6)*100)</f>
        <v>75</v>
      </c>
      <c r="H6" s="18">
        <f>+E6*C6</f>
        <v>300</v>
      </c>
      <c r="I6" s="18">
        <f>+F6*C6</f>
        <v>1200</v>
      </c>
    </row>
    <row r="7" spans="2:9" ht="15.75" thickBot="1">
      <c r="B7" s="79" t="s">
        <v>491</v>
      </c>
      <c r="C7" s="30">
        <v>5</v>
      </c>
      <c r="D7" s="30">
        <v>5</v>
      </c>
      <c r="E7" s="30">
        <v>50</v>
      </c>
      <c r="F7" s="30">
        <v>350</v>
      </c>
      <c r="G7" s="80">
        <f t="shared" ref="G7:G60" si="3">100-((E7/F7)*100)</f>
        <v>85.714285714285722</v>
      </c>
      <c r="H7" s="81">
        <f t="shared" ref="H7:H60" si="4">+E7*C7</f>
        <v>250</v>
      </c>
      <c r="I7" s="81">
        <f t="shared" ref="I7:I60" si="5">+F7*C7</f>
        <v>1750</v>
      </c>
    </row>
    <row r="8" spans="2:9">
      <c r="B8" s="82" t="s">
        <v>639</v>
      </c>
      <c r="C8" s="83">
        <v>2</v>
      </c>
      <c r="D8" s="83">
        <v>5</v>
      </c>
      <c r="E8" s="83">
        <v>50</v>
      </c>
      <c r="F8" s="83">
        <v>350</v>
      </c>
      <c r="G8" s="84">
        <f t="shared" si="3"/>
        <v>85.714285714285722</v>
      </c>
      <c r="H8" s="83">
        <f t="shared" si="4"/>
        <v>100</v>
      </c>
      <c r="I8" s="83">
        <f t="shared" si="5"/>
        <v>700</v>
      </c>
    </row>
    <row r="9" spans="2:9">
      <c r="B9" s="85" t="s">
        <v>640</v>
      </c>
      <c r="C9" s="7">
        <v>2</v>
      </c>
      <c r="D9" s="7">
        <v>5</v>
      </c>
      <c r="E9" s="7">
        <v>50</v>
      </c>
      <c r="F9" s="7">
        <v>350</v>
      </c>
      <c r="G9" s="74">
        <f t="shared" si="3"/>
        <v>85.714285714285722</v>
      </c>
      <c r="H9" s="18">
        <f t="shared" si="4"/>
        <v>100</v>
      </c>
      <c r="I9" s="18">
        <f t="shared" si="5"/>
        <v>700</v>
      </c>
    </row>
    <row r="10" spans="2:9" ht="15.75" thickBot="1">
      <c r="B10" s="87" t="s">
        <v>643</v>
      </c>
      <c r="C10" s="88">
        <v>1</v>
      </c>
      <c r="D10" s="88">
        <v>3</v>
      </c>
      <c r="E10" s="88">
        <v>50</v>
      </c>
      <c r="F10" s="88">
        <v>350</v>
      </c>
      <c r="G10" s="89">
        <f t="shared" si="3"/>
        <v>85.714285714285722</v>
      </c>
      <c r="H10" s="90">
        <f t="shared" si="4"/>
        <v>50</v>
      </c>
      <c r="I10" s="90">
        <f t="shared" si="5"/>
        <v>350</v>
      </c>
    </row>
    <row r="11" spans="2:9">
      <c r="B11" s="21" t="s">
        <v>497</v>
      </c>
      <c r="C11" s="18">
        <v>1</v>
      </c>
      <c r="D11" s="18">
        <v>5</v>
      </c>
      <c r="E11" s="18">
        <v>50</v>
      </c>
      <c r="F11" s="18">
        <v>350</v>
      </c>
      <c r="G11" s="74">
        <f t="shared" si="3"/>
        <v>85.714285714285722</v>
      </c>
      <c r="H11" s="18">
        <f t="shared" si="4"/>
        <v>50</v>
      </c>
      <c r="I11" s="18">
        <f t="shared" si="5"/>
        <v>350</v>
      </c>
    </row>
    <row r="12" spans="2:9">
      <c r="B12" s="62" t="s">
        <v>495</v>
      </c>
      <c r="C12" s="7">
        <v>4</v>
      </c>
      <c r="D12" s="7">
        <v>5</v>
      </c>
      <c r="E12" s="7">
        <v>50</v>
      </c>
      <c r="F12" s="7">
        <v>350</v>
      </c>
      <c r="G12" s="74">
        <f t="shared" si="3"/>
        <v>85.714285714285722</v>
      </c>
      <c r="H12" s="18">
        <f t="shared" si="4"/>
        <v>200</v>
      </c>
      <c r="I12" s="18">
        <f t="shared" si="5"/>
        <v>1400</v>
      </c>
    </row>
    <row r="13" spans="2:9">
      <c r="B13" s="62" t="s">
        <v>496</v>
      </c>
      <c r="C13" s="7">
        <v>3</v>
      </c>
      <c r="D13" s="7">
        <v>5</v>
      </c>
      <c r="E13" s="7"/>
      <c r="F13" s="7">
        <v>350</v>
      </c>
      <c r="G13" s="74">
        <f t="shared" si="3"/>
        <v>100</v>
      </c>
      <c r="H13" s="18">
        <f t="shared" si="4"/>
        <v>0</v>
      </c>
      <c r="I13" s="18">
        <f t="shared" si="5"/>
        <v>1050</v>
      </c>
    </row>
    <row r="14" spans="2:9">
      <c r="B14" s="62" t="s">
        <v>498</v>
      </c>
      <c r="C14" s="7">
        <v>2</v>
      </c>
      <c r="D14" s="7">
        <v>5</v>
      </c>
      <c r="E14" s="7">
        <v>60</v>
      </c>
      <c r="F14" s="7">
        <v>350</v>
      </c>
      <c r="G14" s="74">
        <f t="shared" si="3"/>
        <v>82.857142857142861</v>
      </c>
      <c r="H14" s="18">
        <f t="shared" si="4"/>
        <v>120</v>
      </c>
      <c r="I14" s="18">
        <f t="shared" si="5"/>
        <v>700</v>
      </c>
    </row>
    <row r="15" spans="2:9">
      <c r="B15" s="62" t="s">
        <v>184</v>
      </c>
      <c r="C15" s="7">
        <v>1</v>
      </c>
      <c r="D15" s="7">
        <v>5</v>
      </c>
      <c r="E15" s="7"/>
      <c r="F15" s="7">
        <v>200</v>
      </c>
      <c r="G15" s="74">
        <f t="shared" si="3"/>
        <v>100</v>
      </c>
      <c r="H15" s="18">
        <f t="shared" si="4"/>
        <v>0</v>
      </c>
      <c r="I15" s="18">
        <f t="shared" si="5"/>
        <v>200</v>
      </c>
    </row>
    <row r="16" spans="2:9">
      <c r="B16" s="62" t="s">
        <v>185</v>
      </c>
      <c r="C16" s="7">
        <v>1</v>
      </c>
      <c r="D16" s="7">
        <v>5</v>
      </c>
      <c r="E16" s="7"/>
      <c r="F16" s="7">
        <v>200</v>
      </c>
      <c r="G16" s="74">
        <f t="shared" si="3"/>
        <v>100</v>
      </c>
      <c r="H16" s="18">
        <f t="shared" si="4"/>
        <v>0</v>
      </c>
      <c r="I16" s="18">
        <f t="shared" si="5"/>
        <v>200</v>
      </c>
    </row>
    <row r="17" spans="2:9">
      <c r="B17" s="62" t="s">
        <v>182</v>
      </c>
      <c r="C17" s="7">
        <v>1</v>
      </c>
      <c r="D17" s="7">
        <v>5</v>
      </c>
      <c r="E17" s="7"/>
      <c r="F17" s="7">
        <v>200</v>
      </c>
      <c r="G17" s="74">
        <f t="shared" si="3"/>
        <v>100</v>
      </c>
      <c r="H17" s="18">
        <f t="shared" si="4"/>
        <v>0</v>
      </c>
      <c r="I17" s="18">
        <f t="shared" si="5"/>
        <v>200</v>
      </c>
    </row>
    <row r="18" spans="2:9">
      <c r="B18" s="62" t="s">
        <v>183</v>
      </c>
      <c r="C18" s="7">
        <v>1</v>
      </c>
      <c r="D18" s="7">
        <v>5</v>
      </c>
      <c r="E18" s="7"/>
      <c r="F18" s="7">
        <v>200</v>
      </c>
      <c r="G18" s="74">
        <f t="shared" si="3"/>
        <v>100</v>
      </c>
      <c r="H18" s="18">
        <f t="shared" si="4"/>
        <v>0</v>
      </c>
      <c r="I18" s="18">
        <f t="shared" si="5"/>
        <v>200</v>
      </c>
    </row>
    <row r="19" spans="2:9">
      <c r="B19" s="62" t="s">
        <v>337</v>
      </c>
      <c r="C19" s="7">
        <v>1</v>
      </c>
      <c r="D19" s="7">
        <v>5</v>
      </c>
      <c r="E19" s="7"/>
      <c r="F19" s="7">
        <v>350</v>
      </c>
      <c r="G19" s="74">
        <f t="shared" si="3"/>
        <v>100</v>
      </c>
      <c r="H19" s="18">
        <f t="shared" si="4"/>
        <v>0</v>
      </c>
      <c r="I19" s="18">
        <f t="shared" si="5"/>
        <v>350</v>
      </c>
    </row>
    <row r="20" spans="2:9">
      <c r="B20" s="62" t="s">
        <v>499</v>
      </c>
      <c r="C20" s="7">
        <v>0</v>
      </c>
      <c r="D20" s="7">
        <v>0</v>
      </c>
      <c r="E20" s="7">
        <v>50</v>
      </c>
      <c r="F20" s="7">
        <v>250</v>
      </c>
      <c r="G20" s="74">
        <f t="shared" si="3"/>
        <v>80</v>
      </c>
      <c r="H20" s="18">
        <f t="shared" si="4"/>
        <v>0</v>
      </c>
      <c r="I20" s="18">
        <f t="shared" si="5"/>
        <v>0</v>
      </c>
    </row>
    <row r="21" spans="2:9">
      <c r="B21" s="62" t="s">
        <v>492</v>
      </c>
      <c r="C21" s="7">
        <v>1</v>
      </c>
      <c r="D21" s="7">
        <v>5</v>
      </c>
      <c r="E21" s="7"/>
      <c r="F21" s="7">
        <v>300</v>
      </c>
      <c r="G21" s="74">
        <f>100-((E21/F21)*100)</f>
        <v>100</v>
      </c>
      <c r="H21" s="18">
        <f>+E21*C21</f>
        <v>0</v>
      </c>
      <c r="I21" s="18">
        <f>+F21*C21</f>
        <v>300</v>
      </c>
    </row>
    <row r="22" spans="2:9">
      <c r="B22" s="62" t="s">
        <v>493</v>
      </c>
      <c r="C22" s="7">
        <v>2</v>
      </c>
      <c r="D22" s="7">
        <v>5</v>
      </c>
      <c r="E22" s="7"/>
      <c r="F22" s="7">
        <v>300</v>
      </c>
      <c r="G22" s="74">
        <f>100-((E22/F22)*100)</f>
        <v>100</v>
      </c>
      <c r="H22" s="18">
        <f>+E22*C22</f>
        <v>0</v>
      </c>
      <c r="I22" s="18">
        <f>+F22*C22</f>
        <v>600</v>
      </c>
    </row>
    <row r="23" spans="2:9">
      <c r="B23" s="62" t="s">
        <v>500</v>
      </c>
      <c r="C23" s="7">
        <v>0</v>
      </c>
      <c r="D23" s="7">
        <v>5</v>
      </c>
      <c r="E23" s="7"/>
      <c r="F23" s="7">
        <v>350</v>
      </c>
      <c r="G23" s="74">
        <f t="shared" si="3"/>
        <v>100</v>
      </c>
      <c r="H23" s="18">
        <f t="shared" si="4"/>
        <v>0</v>
      </c>
      <c r="I23" s="18">
        <f t="shared" si="5"/>
        <v>0</v>
      </c>
    </row>
    <row r="24" spans="2:9">
      <c r="B24" s="62" t="s">
        <v>501</v>
      </c>
      <c r="C24" s="7">
        <v>0</v>
      </c>
      <c r="D24" s="7">
        <v>5</v>
      </c>
      <c r="E24" s="7"/>
      <c r="F24" s="7">
        <v>350</v>
      </c>
      <c r="G24" s="74">
        <f t="shared" si="3"/>
        <v>100</v>
      </c>
      <c r="H24" s="18">
        <f t="shared" si="4"/>
        <v>0</v>
      </c>
      <c r="I24" s="18">
        <f t="shared" si="5"/>
        <v>0</v>
      </c>
    </row>
    <row r="25" spans="2:9">
      <c r="B25" s="62" t="s">
        <v>502</v>
      </c>
      <c r="C25" s="7">
        <v>0</v>
      </c>
      <c r="D25" s="7">
        <v>5</v>
      </c>
      <c r="E25" s="7"/>
      <c r="F25" s="7">
        <v>300</v>
      </c>
      <c r="G25" s="74">
        <f t="shared" si="3"/>
        <v>100</v>
      </c>
      <c r="H25" s="18">
        <f t="shared" si="4"/>
        <v>0</v>
      </c>
      <c r="I25" s="18">
        <f t="shared" si="5"/>
        <v>0</v>
      </c>
    </row>
    <row r="26" spans="2:9">
      <c r="B26" s="62" t="s">
        <v>503</v>
      </c>
      <c r="C26" s="7">
        <v>10</v>
      </c>
      <c r="D26" s="7">
        <v>5</v>
      </c>
      <c r="E26" s="7">
        <v>50</v>
      </c>
      <c r="F26" s="7">
        <v>200</v>
      </c>
      <c r="G26" s="74">
        <f t="shared" si="3"/>
        <v>75</v>
      </c>
      <c r="H26" s="18">
        <f t="shared" si="4"/>
        <v>500</v>
      </c>
      <c r="I26" s="18">
        <f t="shared" si="5"/>
        <v>2000</v>
      </c>
    </row>
    <row r="27" spans="2:9">
      <c r="B27" s="62" t="s">
        <v>504</v>
      </c>
      <c r="C27" s="7">
        <v>6</v>
      </c>
      <c r="D27" s="7">
        <v>5</v>
      </c>
      <c r="E27" s="7"/>
      <c r="F27" s="7">
        <v>200</v>
      </c>
      <c r="G27" s="74">
        <f t="shared" si="3"/>
        <v>100</v>
      </c>
      <c r="H27" s="18">
        <f t="shared" si="4"/>
        <v>0</v>
      </c>
      <c r="I27" s="18">
        <f t="shared" si="5"/>
        <v>1200</v>
      </c>
    </row>
    <row r="28" spans="2:9">
      <c r="B28" s="62" t="s">
        <v>506</v>
      </c>
      <c r="C28" s="7">
        <v>3</v>
      </c>
      <c r="D28" s="7">
        <v>5</v>
      </c>
      <c r="E28" s="7"/>
      <c r="F28" s="7">
        <v>350</v>
      </c>
      <c r="G28" s="74">
        <f t="shared" si="3"/>
        <v>100</v>
      </c>
      <c r="H28" s="18">
        <f t="shared" si="4"/>
        <v>0</v>
      </c>
      <c r="I28" s="18">
        <f t="shared" si="5"/>
        <v>1050</v>
      </c>
    </row>
    <row r="29" spans="2:9">
      <c r="B29" s="62" t="s">
        <v>507</v>
      </c>
      <c r="C29" s="7">
        <v>0</v>
      </c>
      <c r="D29" s="7">
        <v>5</v>
      </c>
      <c r="E29" s="7"/>
      <c r="F29" s="7"/>
      <c r="G29" s="74" t="e">
        <f t="shared" si="3"/>
        <v>#DIV/0!</v>
      </c>
      <c r="H29" s="18">
        <f t="shared" si="4"/>
        <v>0</v>
      </c>
      <c r="I29" s="18">
        <f t="shared" si="5"/>
        <v>0</v>
      </c>
    </row>
    <row r="30" spans="2:9">
      <c r="B30" s="62" t="s">
        <v>508</v>
      </c>
      <c r="C30" s="7">
        <v>0</v>
      </c>
      <c r="D30" s="7">
        <v>5</v>
      </c>
      <c r="E30" s="7"/>
      <c r="F30" s="7">
        <v>300</v>
      </c>
      <c r="G30" s="74">
        <f t="shared" si="3"/>
        <v>100</v>
      </c>
      <c r="H30" s="18">
        <f t="shared" si="4"/>
        <v>0</v>
      </c>
      <c r="I30" s="18">
        <f t="shared" si="5"/>
        <v>0</v>
      </c>
    </row>
    <row r="31" spans="2:9">
      <c r="B31" s="62" t="s">
        <v>509</v>
      </c>
      <c r="C31" s="7">
        <v>0</v>
      </c>
      <c r="D31" s="7">
        <v>5</v>
      </c>
      <c r="E31" s="7"/>
      <c r="F31" s="7"/>
      <c r="G31" s="74" t="e">
        <f t="shared" si="3"/>
        <v>#DIV/0!</v>
      </c>
      <c r="H31" s="18">
        <f t="shared" si="4"/>
        <v>0</v>
      </c>
      <c r="I31" s="18">
        <f t="shared" si="5"/>
        <v>0</v>
      </c>
    </row>
    <row r="32" spans="2:9">
      <c r="B32" s="62" t="s">
        <v>510</v>
      </c>
      <c r="C32" s="7">
        <v>0</v>
      </c>
      <c r="D32" s="7">
        <v>5</v>
      </c>
      <c r="E32" s="7"/>
      <c r="F32" s="7">
        <v>350</v>
      </c>
      <c r="G32" s="74">
        <f t="shared" si="3"/>
        <v>100</v>
      </c>
      <c r="H32" s="18">
        <f t="shared" si="4"/>
        <v>0</v>
      </c>
      <c r="I32" s="18">
        <f t="shared" si="5"/>
        <v>0</v>
      </c>
    </row>
    <row r="33" spans="2:9">
      <c r="B33" s="62" t="s">
        <v>190</v>
      </c>
      <c r="C33" s="7">
        <v>0</v>
      </c>
      <c r="D33" s="7">
        <v>5</v>
      </c>
      <c r="E33" s="7"/>
      <c r="F33" s="7"/>
      <c r="G33" s="74" t="e">
        <f t="shared" si="3"/>
        <v>#DIV/0!</v>
      </c>
      <c r="H33" s="18">
        <f t="shared" si="4"/>
        <v>0</v>
      </c>
      <c r="I33" s="18">
        <f t="shared" si="5"/>
        <v>0</v>
      </c>
    </row>
    <row r="34" spans="2:9">
      <c r="B34" s="62" t="s">
        <v>511</v>
      </c>
      <c r="C34" s="7">
        <v>1</v>
      </c>
      <c r="D34" s="7">
        <v>0</v>
      </c>
      <c r="E34" s="7"/>
      <c r="F34" s="7">
        <v>250</v>
      </c>
      <c r="G34" s="74">
        <f t="shared" si="3"/>
        <v>100</v>
      </c>
      <c r="H34" s="18">
        <f t="shared" si="4"/>
        <v>0</v>
      </c>
      <c r="I34" s="18">
        <f t="shared" si="5"/>
        <v>250</v>
      </c>
    </row>
    <row r="35" spans="2:9">
      <c r="B35" s="62" t="s">
        <v>512</v>
      </c>
      <c r="C35" s="7">
        <v>0</v>
      </c>
      <c r="D35" s="7">
        <v>5</v>
      </c>
      <c r="E35" s="7"/>
      <c r="F35" s="7"/>
      <c r="G35" s="74" t="e">
        <f t="shared" si="3"/>
        <v>#DIV/0!</v>
      </c>
      <c r="H35" s="18">
        <f t="shared" si="4"/>
        <v>0</v>
      </c>
      <c r="I35" s="18">
        <f t="shared" si="5"/>
        <v>0</v>
      </c>
    </row>
    <row r="36" spans="2:9">
      <c r="B36" s="62" t="s">
        <v>513</v>
      </c>
      <c r="C36" s="7">
        <v>0</v>
      </c>
      <c r="D36" s="7">
        <v>5</v>
      </c>
      <c r="E36" s="7"/>
      <c r="F36" s="7"/>
      <c r="G36" s="74" t="e">
        <f t="shared" si="3"/>
        <v>#DIV/0!</v>
      </c>
      <c r="H36" s="18">
        <f t="shared" si="4"/>
        <v>0</v>
      </c>
      <c r="I36" s="18">
        <f t="shared" si="5"/>
        <v>0</v>
      </c>
    </row>
    <row r="37" spans="2:9">
      <c r="B37" s="62" t="s">
        <v>514</v>
      </c>
      <c r="C37" s="7">
        <v>5</v>
      </c>
      <c r="D37" s="7">
        <v>5</v>
      </c>
      <c r="E37" s="7"/>
      <c r="F37" s="7">
        <v>250</v>
      </c>
      <c r="G37" s="74">
        <f t="shared" si="3"/>
        <v>100</v>
      </c>
      <c r="H37" s="18">
        <f t="shared" si="4"/>
        <v>0</v>
      </c>
      <c r="I37" s="18">
        <f t="shared" si="5"/>
        <v>1250</v>
      </c>
    </row>
    <row r="38" spans="2:9">
      <c r="B38" s="62" t="s">
        <v>692</v>
      </c>
      <c r="C38" s="7">
        <v>2</v>
      </c>
      <c r="D38" s="7">
        <v>5</v>
      </c>
      <c r="E38" s="7"/>
      <c r="F38" s="7">
        <v>350</v>
      </c>
      <c r="G38" s="74">
        <f t="shared" si="3"/>
        <v>100</v>
      </c>
      <c r="H38" s="18">
        <f t="shared" si="4"/>
        <v>0</v>
      </c>
      <c r="I38" s="18">
        <f t="shared" si="5"/>
        <v>700</v>
      </c>
    </row>
    <row r="39" spans="2:9">
      <c r="B39" s="62" t="s">
        <v>516</v>
      </c>
      <c r="C39" s="7">
        <v>0</v>
      </c>
      <c r="D39" s="7">
        <v>5</v>
      </c>
      <c r="E39" s="7"/>
      <c r="F39" s="7"/>
      <c r="G39" s="74" t="e">
        <f t="shared" si="3"/>
        <v>#DIV/0!</v>
      </c>
      <c r="H39" s="18">
        <f t="shared" si="4"/>
        <v>0</v>
      </c>
      <c r="I39" s="18">
        <f t="shared" si="5"/>
        <v>0</v>
      </c>
    </row>
    <row r="40" spans="2:9">
      <c r="B40" s="63" t="s">
        <v>517</v>
      </c>
      <c r="C40" s="7">
        <v>0</v>
      </c>
      <c r="D40" s="7">
        <v>5</v>
      </c>
      <c r="E40" s="7"/>
      <c r="F40" s="7"/>
      <c r="G40" s="74" t="e">
        <f t="shared" si="3"/>
        <v>#DIV/0!</v>
      </c>
      <c r="H40" s="18">
        <f t="shared" si="4"/>
        <v>0</v>
      </c>
      <c r="I40" s="18">
        <f t="shared" si="5"/>
        <v>0</v>
      </c>
    </row>
    <row r="41" spans="2:9">
      <c r="B41" s="63" t="s">
        <v>518</v>
      </c>
      <c r="C41" s="7">
        <v>0</v>
      </c>
      <c r="D41" s="7">
        <v>5</v>
      </c>
      <c r="E41" s="7"/>
      <c r="F41" s="7"/>
      <c r="G41" s="74" t="e">
        <f t="shared" si="3"/>
        <v>#DIV/0!</v>
      </c>
      <c r="H41" s="18">
        <f t="shared" si="4"/>
        <v>0</v>
      </c>
      <c r="I41" s="18">
        <f t="shared" si="5"/>
        <v>0</v>
      </c>
    </row>
    <row r="42" spans="2:9">
      <c r="B42" s="63" t="s">
        <v>526</v>
      </c>
      <c r="C42" s="7">
        <v>0</v>
      </c>
      <c r="D42" s="7">
        <v>5</v>
      </c>
      <c r="E42" s="7"/>
      <c r="F42" s="7">
        <v>200</v>
      </c>
      <c r="G42" s="74">
        <f t="shared" si="3"/>
        <v>100</v>
      </c>
      <c r="H42" s="18">
        <f t="shared" si="4"/>
        <v>0</v>
      </c>
      <c r="I42" s="18">
        <f t="shared" si="5"/>
        <v>0</v>
      </c>
    </row>
    <row r="43" spans="2:9">
      <c r="B43" s="63" t="s">
        <v>527</v>
      </c>
      <c r="C43" s="7">
        <v>0</v>
      </c>
      <c r="D43" s="7">
        <v>5</v>
      </c>
      <c r="E43" s="7"/>
      <c r="F43" s="7"/>
      <c r="G43" s="74" t="e">
        <f t="shared" si="3"/>
        <v>#DIV/0!</v>
      </c>
      <c r="H43" s="18">
        <f t="shared" si="4"/>
        <v>0</v>
      </c>
      <c r="I43" s="18">
        <f t="shared" si="5"/>
        <v>0</v>
      </c>
    </row>
    <row r="44" spans="2:9">
      <c r="B44" s="63" t="s">
        <v>528</v>
      </c>
      <c r="C44" s="7">
        <v>4</v>
      </c>
      <c r="D44" s="7">
        <v>5</v>
      </c>
      <c r="E44" s="7"/>
      <c r="F44" s="7">
        <v>350</v>
      </c>
      <c r="G44" s="74">
        <f t="shared" si="3"/>
        <v>100</v>
      </c>
      <c r="H44" s="18">
        <f t="shared" si="4"/>
        <v>0</v>
      </c>
      <c r="I44" s="18">
        <f t="shared" si="5"/>
        <v>1400</v>
      </c>
    </row>
    <row r="45" spans="2:9">
      <c r="B45" s="63" t="s">
        <v>529</v>
      </c>
      <c r="C45" s="7">
        <v>0</v>
      </c>
      <c r="D45" s="7">
        <v>0</v>
      </c>
      <c r="E45" s="7"/>
      <c r="F45" s="7"/>
      <c r="G45" s="74" t="e">
        <f t="shared" si="3"/>
        <v>#DIV/0!</v>
      </c>
      <c r="H45" s="18">
        <f t="shared" si="4"/>
        <v>0</v>
      </c>
      <c r="I45" s="18">
        <f t="shared" si="5"/>
        <v>0</v>
      </c>
    </row>
    <row r="46" spans="2:9">
      <c r="B46" s="63" t="s">
        <v>530</v>
      </c>
      <c r="C46" s="7">
        <v>0</v>
      </c>
      <c r="D46" s="7">
        <v>0</v>
      </c>
      <c r="E46" s="7"/>
      <c r="F46" s="7"/>
      <c r="G46" s="74" t="e">
        <f t="shared" si="3"/>
        <v>#DIV/0!</v>
      </c>
      <c r="H46" s="18">
        <f t="shared" si="4"/>
        <v>0</v>
      </c>
      <c r="I46" s="18">
        <f t="shared" si="5"/>
        <v>0</v>
      </c>
    </row>
    <row r="47" spans="2:9">
      <c r="B47" s="63" t="s">
        <v>531</v>
      </c>
      <c r="C47" s="7">
        <v>0</v>
      </c>
      <c r="D47" s="7">
        <v>0</v>
      </c>
      <c r="E47" s="7"/>
      <c r="F47" s="7"/>
      <c r="G47" s="74" t="e">
        <f t="shared" si="3"/>
        <v>#DIV/0!</v>
      </c>
      <c r="H47" s="18">
        <f t="shared" si="4"/>
        <v>0</v>
      </c>
      <c r="I47" s="18">
        <f t="shared" si="5"/>
        <v>0</v>
      </c>
    </row>
    <row r="48" spans="2:9" ht="15.75" thickBot="1">
      <c r="B48" s="62" t="s">
        <v>532</v>
      </c>
      <c r="C48" s="7">
        <v>0</v>
      </c>
      <c r="D48" s="7">
        <v>0</v>
      </c>
      <c r="E48" s="7"/>
      <c r="F48" s="7"/>
      <c r="G48" s="74" t="e">
        <f t="shared" si="3"/>
        <v>#DIV/0!</v>
      </c>
      <c r="H48" s="18">
        <f t="shared" si="4"/>
        <v>0</v>
      </c>
      <c r="I48" s="18">
        <f t="shared" si="5"/>
        <v>0</v>
      </c>
    </row>
    <row r="49" spans="2:9" ht="15.75" thickBot="1">
      <c r="B49" s="3" t="s">
        <v>519</v>
      </c>
      <c r="C49" s="7"/>
      <c r="D49" s="7"/>
      <c r="E49" s="7"/>
      <c r="F49" s="7"/>
      <c r="G49" s="74"/>
      <c r="H49" s="18">
        <f t="shared" si="4"/>
        <v>0</v>
      </c>
      <c r="I49" s="18">
        <f t="shared" si="5"/>
        <v>0</v>
      </c>
    </row>
    <row r="50" spans="2:9">
      <c r="B50" s="21" t="s">
        <v>520</v>
      </c>
      <c r="C50" s="7">
        <v>0</v>
      </c>
      <c r="D50" s="7">
        <v>5</v>
      </c>
      <c r="E50" s="7"/>
      <c r="F50" s="7"/>
      <c r="G50" s="74" t="e">
        <f t="shared" si="3"/>
        <v>#DIV/0!</v>
      </c>
      <c r="H50" s="18">
        <f t="shared" si="4"/>
        <v>0</v>
      </c>
      <c r="I50" s="18">
        <f t="shared" si="5"/>
        <v>0</v>
      </c>
    </row>
    <row r="51" spans="2:9">
      <c r="B51" s="62" t="s">
        <v>521</v>
      </c>
      <c r="C51" s="7">
        <v>0</v>
      </c>
      <c r="D51" s="7">
        <v>5</v>
      </c>
      <c r="E51" s="7"/>
      <c r="F51" s="7"/>
      <c r="G51" s="74" t="e">
        <f t="shared" si="3"/>
        <v>#DIV/0!</v>
      </c>
      <c r="H51" s="18">
        <f t="shared" si="4"/>
        <v>0</v>
      </c>
      <c r="I51" s="18">
        <f t="shared" si="5"/>
        <v>0</v>
      </c>
    </row>
    <row r="52" spans="2:9">
      <c r="B52" s="62" t="s">
        <v>522</v>
      </c>
      <c r="C52" s="7">
        <v>0</v>
      </c>
      <c r="D52" s="7">
        <v>5</v>
      </c>
      <c r="E52" s="7"/>
      <c r="F52" s="7"/>
      <c r="G52" s="74" t="e">
        <f t="shared" si="3"/>
        <v>#DIV/0!</v>
      </c>
      <c r="H52" s="18">
        <f t="shared" si="4"/>
        <v>0</v>
      </c>
      <c r="I52" s="18">
        <f t="shared" si="5"/>
        <v>0</v>
      </c>
    </row>
    <row r="53" spans="2:9">
      <c r="B53" s="62" t="s">
        <v>523</v>
      </c>
      <c r="C53" s="7">
        <v>0</v>
      </c>
      <c r="D53" s="7">
        <v>5</v>
      </c>
      <c r="E53" s="7"/>
      <c r="F53" s="7"/>
      <c r="G53" s="74" t="e">
        <f t="shared" si="3"/>
        <v>#DIV/0!</v>
      </c>
      <c r="H53" s="18">
        <f t="shared" si="4"/>
        <v>0</v>
      </c>
      <c r="I53" s="18">
        <f t="shared" si="5"/>
        <v>0</v>
      </c>
    </row>
    <row r="54" spans="2:9">
      <c r="B54" s="62" t="s">
        <v>525</v>
      </c>
      <c r="C54" s="7">
        <v>0</v>
      </c>
      <c r="D54" s="7">
        <v>5</v>
      </c>
      <c r="E54" s="7"/>
      <c r="F54" s="7"/>
      <c r="G54" s="74" t="e">
        <f t="shared" si="3"/>
        <v>#DIV/0!</v>
      </c>
      <c r="H54" s="18">
        <f t="shared" si="4"/>
        <v>0</v>
      </c>
      <c r="I54" s="18">
        <f t="shared" si="5"/>
        <v>0</v>
      </c>
    </row>
    <row r="55" spans="2:9" ht="15.75" thickBot="1">
      <c r="B55" s="62" t="s">
        <v>524</v>
      </c>
      <c r="C55" s="7">
        <v>0</v>
      </c>
      <c r="D55" s="7">
        <v>5</v>
      </c>
      <c r="E55" s="7"/>
      <c r="F55" s="7"/>
      <c r="G55" s="74" t="e">
        <f t="shared" si="3"/>
        <v>#DIV/0!</v>
      </c>
      <c r="H55" s="18">
        <f t="shared" si="4"/>
        <v>0</v>
      </c>
      <c r="I55" s="18">
        <f t="shared" si="5"/>
        <v>0</v>
      </c>
    </row>
    <row r="56" spans="2:9" ht="15.75" thickBot="1">
      <c r="B56" s="3" t="s">
        <v>533</v>
      </c>
      <c r="C56" s="7"/>
      <c r="D56" s="7"/>
      <c r="E56" s="7"/>
      <c r="F56" s="7"/>
      <c r="G56" s="74"/>
      <c r="H56" s="18">
        <f t="shared" si="4"/>
        <v>0</v>
      </c>
      <c r="I56" s="18">
        <f t="shared" si="5"/>
        <v>0</v>
      </c>
    </row>
    <row r="57" spans="2:9">
      <c r="B57" s="21" t="s">
        <v>534</v>
      </c>
      <c r="C57" s="7">
        <v>0</v>
      </c>
      <c r="D57" s="7">
        <v>5</v>
      </c>
      <c r="E57" s="7"/>
      <c r="F57" s="7"/>
      <c r="G57" s="74" t="e">
        <f t="shared" si="3"/>
        <v>#DIV/0!</v>
      </c>
      <c r="H57" s="18">
        <f t="shared" si="4"/>
        <v>0</v>
      </c>
      <c r="I57" s="18">
        <f t="shared" si="5"/>
        <v>0</v>
      </c>
    </row>
    <row r="58" spans="2:9">
      <c r="B58" s="62" t="s">
        <v>192</v>
      </c>
      <c r="C58" s="7">
        <v>0</v>
      </c>
      <c r="D58" s="7">
        <v>5</v>
      </c>
      <c r="E58" s="7"/>
      <c r="F58" s="7"/>
      <c r="G58" s="74" t="e">
        <f t="shared" si="3"/>
        <v>#DIV/0!</v>
      </c>
      <c r="H58" s="18">
        <f t="shared" si="4"/>
        <v>0</v>
      </c>
      <c r="I58" s="18">
        <f t="shared" si="5"/>
        <v>0</v>
      </c>
    </row>
    <row r="59" spans="2:9">
      <c r="B59" s="62" t="s">
        <v>535</v>
      </c>
      <c r="C59" s="7">
        <v>0</v>
      </c>
      <c r="D59" s="7">
        <v>5</v>
      </c>
      <c r="E59" s="7"/>
      <c r="F59" s="7"/>
      <c r="G59" s="74" t="e">
        <f t="shared" si="3"/>
        <v>#DIV/0!</v>
      </c>
      <c r="H59" s="18">
        <f t="shared" si="4"/>
        <v>0</v>
      </c>
      <c r="I59" s="18">
        <f t="shared" si="5"/>
        <v>0</v>
      </c>
    </row>
    <row r="60" spans="2:9">
      <c r="B60" s="62" t="s">
        <v>536</v>
      </c>
      <c r="C60" s="7">
        <v>0</v>
      </c>
      <c r="D60" s="7">
        <v>5</v>
      </c>
      <c r="E60" s="7"/>
      <c r="F60" s="7"/>
      <c r="G60" s="74" t="e">
        <f t="shared" si="3"/>
        <v>#DIV/0!</v>
      </c>
      <c r="H60" s="18">
        <f t="shared" si="4"/>
        <v>0</v>
      </c>
      <c r="I60" s="18">
        <f t="shared" si="5"/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B2:E23"/>
  <sheetViews>
    <sheetView workbookViewId="0">
      <selection activeCell="D29" sqref="D29"/>
    </sheetView>
  </sheetViews>
  <sheetFormatPr defaultRowHeight="15"/>
  <cols>
    <col min="3" max="3" width="29.140625" customWidth="1"/>
    <col min="5" max="5" width="13.28515625" customWidth="1"/>
  </cols>
  <sheetData>
    <row r="2" spans="2:5" ht="18.75">
      <c r="C2" s="94" t="s">
        <v>666</v>
      </c>
    </row>
    <row r="4" spans="2:5">
      <c r="B4" s="5" t="s">
        <v>667</v>
      </c>
      <c r="C4" s="5" t="s">
        <v>668</v>
      </c>
      <c r="D4" s="5" t="s">
        <v>636</v>
      </c>
      <c r="E4" s="95" t="s">
        <v>669</v>
      </c>
    </row>
    <row r="5" spans="2:5">
      <c r="B5" s="7">
        <v>1</v>
      </c>
      <c r="C5" s="7" t="s">
        <v>670</v>
      </c>
      <c r="D5" s="7">
        <v>1</v>
      </c>
      <c r="E5" s="96">
        <v>50</v>
      </c>
    </row>
    <row r="6" spans="2:5">
      <c r="B6" s="7">
        <v>2</v>
      </c>
      <c r="C6" s="7" t="s">
        <v>671</v>
      </c>
      <c r="D6" s="7">
        <v>1</v>
      </c>
      <c r="E6" s="96">
        <v>230</v>
      </c>
    </row>
    <row r="7" spans="2:5">
      <c r="B7" s="7">
        <v>3</v>
      </c>
      <c r="C7" s="7" t="s">
        <v>672</v>
      </c>
      <c r="D7" s="7"/>
      <c r="E7" s="96">
        <v>15</v>
      </c>
    </row>
    <row r="8" spans="2:5">
      <c r="B8" s="7">
        <v>4</v>
      </c>
      <c r="C8" s="7" t="s">
        <v>673</v>
      </c>
      <c r="D8" s="7"/>
      <c r="E8" s="96">
        <v>20</v>
      </c>
    </row>
    <row r="9" spans="2:5">
      <c r="B9" s="7">
        <v>5</v>
      </c>
      <c r="C9" s="7" t="s">
        <v>674</v>
      </c>
      <c r="D9" s="7">
        <v>1</v>
      </c>
      <c r="E9" s="96">
        <v>50</v>
      </c>
    </row>
    <row r="10" spans="2:5">
      <c r="B10" s="7">
        <v>6</v>
      </c>
      <c r="C10" s="7" t="s">
        <v>265</v>
      </c>
      <c r="D10" s="7"/>
      <c r="E10" s="96">
        <v>90</v>
      </c>
    </row>
    <row r="11" spans="2:5">
      <c r="B11" s="7">
        <v>7</v>
      </c>
      <c r="C11" s="7" t="s">
        <v>675</v>
      </c>
      <c r="D11" s="7"/>
      <c r="E11" s="96">
        <v>230</v>
      </c>
    </row>
    <row r="12" spans="2:5">
      <c r="B12" s="7">
        <v>8</v>
      </c>
      <c r="C12" s="7" t="s">
        <v>676</v>
      </c>
      <c r="D12" s="7">
        <v>4</v>
      </c>
      <c r="E12" s="96">
        <v>50</v>
      </c>
    </row>
    <row r="13" spans="2:5">
      <c r="B13" s="7">
        <v>9</v>
      </c>
      <c r="C13" s="7" t="s">
        <v>677</v>
      </c>
      <c r="D13" s="7">
        <v>1</v>
      </c>
      <c r="E13" s="96">
        <v>300</v>
      </c>
    </row>
    <row r="14" spans="2:5">
      <c r="B14" s="7">
        <v>10</v>
      </c>
      <c r="C14" s="7" t="s">
        <v>678</v>
      </c>
      <c r="D14" s="7">
        <v>1</v>
      </c>
      <c r="E14" s="96">
        <v>5</v>
      </c>
    </row>
    <row r="15" spans="2:5">
      <c r="B15" s="7">
        <v>11</v>
      </c>
      <c r="C15" s="7" t="s">
        <v>679</v>
      </c>
      <c r="D15" s="7">
        <v>1</v>
      </c>
      <c r="E15" s="96">
        <v>10</v>
      </c>
    </row>
    <row r="16" spans="2:5">
      <c r="B16" s="7">
        <v>12</v>
      </c>
      <c r="C16" s="7" t="s">
        <v>680</v>
      </c>
      <c r="D16" s="7"/>
      <c r="E16" s="96">
        <v>20</v>
      </c>
    </row>
    <row r="17" spans="2:5">
      <c r="B17" s="7">
        <v>13</v>
      </c>
      <c r="C17" s="7" t="s">
        <v>420</v>
      </c>
      <c r="D17" s="7">
        <v>2</v>
      </c>
      <c r="E17" s="96">
        <v>2</v>
      </c>
    </row>
    <row r="18" spans="2:5">
      <c r="B18" s="7">
        <v>14</v>
      </c>
      <c r="C18" s="7" t="s">
        <v>681</v>
      </c>
      <c r="D18" s="7"/>
      <c r="E18" s="96">
        <v>10</v>
      </c>
    </row>
    <row r="19" spans="2:5">
      <c r="B19" s="7">
        <v>15</v>
      </c>
      <c r="C19" s="7" t="s">
        <v>682</v>
      </c>
      <c r="D19" s="7"/>
      <c r="E19" s="96">
        <v>30</v>
      </c>
    </row>
    <row r="20" spans="2:5">
      <c r="B20" s="7">
        <v>16</v>
      </c>
      <c r="C20" s="7" t="s">
        <v>683</v>
      </c>
      <c r="D20" s="7"/>
      <c r="E20" s="96">
        <v>12</v>
      </c>
    </row>
    <row r="21" spans="2:5">
      <c r="B21" s="7">
        <v>17</v>
      </c>
      <c r="C21" s="7">
        <v>7805</v>
      </c>
      <c r="D21" s="7"/>
      <c r="E21" s="96">
        <v>20</v>
      </c>
    </row>
    <row r="22" spans="2:5">
      <c r="B22" s="7">
        <v>18</v>
      </c>
      <c r="C22" s="7" t="s">
        <v>684</v>
      </c>
      <c r="D22" s="7"/>
      <c r="E22" s="96">
        <v>150</v>
      </c>
    </row>
    <row r="23" spans="2:5">
      <c r="E23" s="97">
        <f>SUM(E5:E22)</f>
        <v>1294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2"/>
  <dimension ref="B2:F29"/>
  <sheetViews>
    <sheetView workbookViewId="0">
      <selection activeCell="I14" sqref="I14"/>
    </sheetView>
  </sheetViews>
  <sheetFormatPr defaultRowHeight="15"/>
  <cols>
    <col min="2" max="2" width="4.5703125" customWidth="1"/>
    <col min="3" max="3" width="22.5703125" bestFit="1" customWidth="1"/>
  </cols>
  <sheetData>
    <row r="2" spans="2:6">
      <c r="B2" s="93" t="s">
        <v>685</v>
      </c>
      <c r="C2" s="1"/>
    </row>
    <row r="4" spans="2:6" ht="18.75">
      <c r="B4" s="91">
        <v>1</v>
      </c>
      <c r="C4" s="91" t="s">
        <v>644</v>
      </c>
      <c r="D4" s="91">
        <v>1</v>
      </c>
      <c r="E4" s="91">
        <v>340</v>
      </c>
      <c r="F4" s="92">
        <v>450</v>
      </c>
    </row>
    <row r="5" spans="2:6" ht="18.75">
      <c r="B5" s="91">
        <v>2</v>
      </c>
      <c r="C5" s="91" t="s">
        <v>659</v>
      </c>
      <c r="D5" s="91">
        <v>1</v>
      </c>
      <c r="E5" s="91">
        <v>10</v>
      </c>
      <c r="F5" s="92">
        <v>30</v>
      </c>
    </row>
    <row r="6" spans="2:6" ht="18.75">
      <c r="B6" s="91">
        <v>3</v>
      </c>
      <c r="C6" s="91" t="s">
        <v>653</v>
      </c>
      <c r="D6" s="91">
        <v>1</v>
      </c>
      <c r="E6" s="91">
        <v>100</v>
      </c>
      <c r="F6" s="92">
        <v>150</v>
      </c>
    </row>
    <row r="7" spans="2:6" ht="18.75">
      <c r="B7" s="91">
        <v>4</v>
      </c>
      <c r="C7" s="91" t="s">
        <v>645</v>
      </c>
      <c r="D7" s="91">
        <v>15</v>
      </c>
      <c r="E7" s="91">
        <v>35</v>
      </c>
      <c r="F7" s="92">
        <v>45</v>
      </c>
    </row>
    <row r="8" spans="2:6" ht="18.75">
      <c r="B8" s="91">
        <v>5</v>
      </c>
      <c r="C8" s="91" t="s">
        <v>233</v>
      </c>
      <c r="D8" s="91">
        <v>1</v>
      </c>
      <c r="E8" s="91">
        <v>2</v>
      </c>
      <c r="F8" s="92">
        <v>5</v>
      </c>
    </row>
    <row r="9" spans="2:6" ht="18.75">
      <c r="B9" s="91">
        <v>6</v>
      </c>
      <c r="C9" s="91" t="s">
        <v>420</v>
      </c>
      <c r="D9" s="91">
        <v>5</v>
      </c>
      <c r="E9" s="91">
        <v>2</v>
      </c>
      <c r="F9" s="92">
        <v>5</v>
      </c>
    </row>
    <row r="10" spans="2:6" ht="18.75">
      <c r="B10" s="91">
        <v>7</v>
      </c>
      <c r="C10" s="91" t="s">
        <v>646</v>
      </c>
      <c r="D10" s="91">
        <v>1</v>
      </c>
      <c r="E10" s="91">
        <v>7</v>
      </c>
      <c r="F10" s="92">
        <v>10</v>
      </c>
    </row>
    <row r="11" spans="2:6" ht="18.75">
      <c r="B11" s="91">
        <v>8</v>
      </c>
      <c r="C11" s="91" t="s">
        <v>647</v>
      </c>
      <c r="D11" s="91">
        <v>1</v>
      </c>
      <c r="E11" s="91">
        <v>30</v>
      </c>
      <c r="F11" s="92">
        <v>40</v>
      </c>
    </row>
    <row r="12" spans="2:6" ht="18.75">
      <c r="B12" s="91">
        <v>9</v>
      </c>
      <c r="C12" s="91" t="s">
        <v>283</v>
      </c>
      <c r="D12" s="91">
        <v>1</v>
      </c>
      <c r="E12" s="91">
        <v>3</v>
      </c>
      <c r="F12" s="92">
        <v>5</v>
      </c>
    </row>
    <row r="13" spans="2:6" ht="18.75">
      <c r="B13" s="91">
        <v>10</v>
      </c>
      <c r="C13" s="91" t="s">
        <v>648</v>
      </c>
      <c r="D13" s="91">
        <v>1</v>
      </c>
      <c r="E13" s="91">
        <v>60</v>
      </c>
      <c r="F13" s="92">
        <v>110</v>
      </c>
    </row>
    <row r="14" spans="2:6" ht="18.75">
      <c r="B14" s="91">
        <v>11</v>
      </c>
      <c r="C14" s="91" t="s">
        <v>660</v>
      </c>
      <c r="D14" s="91">
        <v>1</v>
      </c>
      <c r="E14" s="91">
        <v>110</v>
      </c>
      <c r="F14" s="92">
        <v>130</v>
      </c>
    </row>
    <row r="15" spans="2:6" ht="18.75">
      <c r="B15" s="91">
        <v>12</v>
      </c>
      <c r="C15" s="91" t="s">
        <v>649</v>
      </c>
      <c r="D15" s="91">
        <v>1</v>
      </c>
      <c r="E15" s="91">
        <v>70</v>
      </c>
      <c r="F15" s="92">
        <v>110</v>
      </c>
    </row>
    <row r="16" spans="2:6" ht="18.75">
      <c r="B16" s="91">
        <v>13</v>
      </c>
      <c r="C16" s="91" t="s">
        <v>650</v>
      </c>
      <c r="D16" s="91">
        <v>1</v>
      </c>
      <c r="E16" s="91">
        <v>10</v>
      </c>
      <c r="F16" s="92">
        <v>20</v>
      </c>
    </row>
    <row r="17" spans="2:6" ht="18.75">
      <c r="B17" s="91">
        <v>14</v>
      </c>
      <c r="C17" s="91" t="s">
        <v>651</v>
      </c>
      <c r="D17" s="91">
        <v>1</v>
      </c>
      <c r="E17" s="91">
        <v>50</v>
      </c>
      <c r="F17" s="92">
        <v>70</v>
      </c>
    </row>
    <row r="18" spans="2:6" ht="18.75">
      <c r="B18" s="91">
        <v>15</v>
      </c>
      <c r="C18" s="91" t="s">
        <v>652</v>
      </c>
      <c r="D18" s="91">
        <v>1</v>
      </c>
      <c r="E18" s="91">
        <v>3</v>
      </c>
      <c r="F18" s="92">
        <v>5</v>
      </c>
    </row>
    <row r="19" spans="2:6" ht="18.75">
      <c r="B19" s="91">
        <v>16</v>
      </c>
      <c r="C19" s="91" t="s">
        <v>661</v>
      </c>
      <c r="D19" s="91">
        <v>1</v>
      </c>
      <c r="E19" s="91">
        <v>5</v>
      </c>
      <c r="F19" s="92">
        <v>10</v>
      </c>
    </row>
    <row r="20" spans="2:6" ht="18.75">
      <c r="B20" s="91">
        <v>17</v>
      </c>
      <c r="C20" s="91" t="s">
        <v>662</v>
      </c>
      <c r="D20" s="91">
        <v>1</v>
      </c>
      <c r="E20" s="91">
        <v>15</v>
      </c>
      <c r="F20" s="92">
        <v>40</v>
      </c>
    </row>
    <row r="21" spans="2:6" ht="18.75">
      <c r="B21" s="91">
        <v>18</v>
      </c>
      <c r="C21" s="91" t="s">
        <v>663</v>
      </c>
      <c r="D21" s="91">
        <v>1</v>
      </c>
      <c r="E21" s="91">
        <v>3</v>
      </c>
      <c r="F21" s="92">
        <v>10</v>
      </c>
    </row>
    <row r="22" spans="2:6" ht="18.75">
      <c r="B22" s="91">
        <v>19</v>
      </c>
      <c r="C22" s="91" t="s">
        <v>654</v>
      </c>
      <c r="D22" s="91">
        <v>1</v>
      </c>
      <c r="E22" s="91">
        <v>30</v>
      </c>
      <c r="F22" s="92">
        <v>40</v>
      </c>
    </row>
    <row r="23" spans="2:6" ht="18.75">
      <c r="B23" s="91">
        <v>20</v>
      </c>
      <c r="C23" s="91" t="s">
        <v>655</v>
      </c>
      <c r="D23" s="91">
        <v>1</v>
      </c>
      <c r="E23" s="91">
        <v>35</v>
      </c>
      <c r="F23" s="92">
        <v>50</v>
      </c>
    </row>
    <row r="24" spans="2:6" ht="18.75">
      <c r="B24" s="91">
        <v>21</v>
      </c>
      <c r="C24" s="91" t="s">
        <v>656</v>
      </c>
      <c r="D24" s="91">
        <v>1</v>
      </c>
      <c r="E24" s="91">
        <v>10</v>
      </c>
      <c r="F24" s="92">
        <v>20</v>
      </c>
    </row>
    <row r="25" spans="2:6" ht="18.75">
      <c r="B25" s="91">
        <v>22</v>
      </c>
      <c r="C25" s="91" t="s">
        <v>664</v>
      </c>
      <c r="D25" s="91">
        <v>2</v>
      </c>
      <c r="E25" s="91">
        <v>5</v>
      </c>
      <c r="F25" s="92">
        <v>10</v>
      </c>
    </row>
    <row r="26" spans="2:6" ht="18.75">
      <c r="B26" s="91">
        <v>23</v>
      </c>
      <c r="C26" s="91" t="s">
        <v>657</v>
      </c>
      <c r="D26" s="91">
        <v>1</v>
      </c>
      <c r="E26" s="91">
        <v>6</v>
      </c>
      <c r="F26" s="92">
        <v>10</v>
      </c>
    </row>
    <row r="27" spans="2:6" ht="18.75">
      <c r="B27" s="91">
        <v>24</v>
      </c>
      <c r="C27" s="91" t="s">
        <v>665</v>
      </c>
      <c r="D27" s="91">
        <v>2</v>
      </c>
      <c r="E27" s="91">
        <v>10</v>
      </c>
      <c r="F27" s="92">
        <v>20</v>
      </c>
    </row>
    <row r="28" spans="2:6" ht="18.75">
      <c r="B28" s="91">
        <v>25</v>
      </c>
      <c r="C28" s="91" t="s">
        <v>658</v>
      </c>
      <c r="D28" s="91">
        <v>1</v>
      </c>
      <c r="E28" s="91">
        <v>30</v>
      </c>
      <c r="F28" s="92">
        <v>30</v>
      </c>
    </row>
    <row r="29" spans="2:6">
      <c r="E29">
        <f>SUM(E4:E28)</f>
        <v>981</v>
      </c>
      <c r="F29">
        <f>SUM(F4:F28)</f>
        <v>1425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:I54"/>
  <sheetViews>
    <sheetView workbookViewId="0">
      <selection activeCell="K12" sqref="K12"/>
    </sheetView>
  </sheetViews>
  <sheetFormatPr defaultRowHeight="15"/>
  <cols>
    <col min="1" max="1" width="10.5703125" bestFit="1" customWidth="1"/>
    <col min="2" max="2" width="20.140625" bestFit="1" customWidth="1"/>
    <col min="3" max="3" width="13.140625" customWidth="1"/>
    <col min="4" max="4" width="14" customWidth="1"/>
  </cols>
  <sheetData>
    <row r="1" spans="1:9">
      <c r="A1" s="37"/>
      <c r="B1" s="98"/>
      <c r="C1" s="98" t="s">
        <v>475</v>
      </c>
      <c r="D1" s="98" t="s">
        <v>538</v>
      </c>
      <c r="E1" s="10" t="s">
        <v>612</v>
      </c>
      <c r="F1" s="12" t="s">
        <v>613</v>
      </c>
      <c r="G1" s="9" t="s">
        <v>641</v>
      </c>
      <c r="H1" s="57" t="s">
        <v>614</v>
      </c>
      <c r="I1" s="58" t="s">
        <v>615</v>
      </c>
    </row>
    <row r="2" spans="1:9">
      <c r="A2" s="7" t="s">
        <v>451</v>
      </c>
      <c r="B2" s="7" t="s">
        <v>696</v>
      </c>
      <c r="C2" s="7">
        <v>5</v>
      </c>
      <c r="D2" s="7">
        <v>10</v>
      </c>
      <c r="E2" s="7"/>
      <c r="F2" s="7">
        <v>10</v>
      </c>
      <c r="G2" s="7"/>
      <c r="H2" s="7"/>
      <c r="I2" s="7"/>
    </row>
    <row r="3" spans="1:9">
      <c r="A3" s="7" t="s">
        <v>451</v>
      </c>
      <c r="B3" s="7" t="s">
        <v>697</v>
      </c>
      <c r="C3" s="7">
        <v>5</v>
      </c>
      <c r="D3" s="7">
        <v>10</v>
      </c>
      <c r="E3" s="7"/>
      <c r="F3" s="7">
        <v>10</v>
      </c>
      <c r="G3" s="7"/>
      <c r="H3" s="7"/>
      <c r="I3" s="7"/>
    </row>
    <row r="4" spans="1:9">
      <c r="A4" s="7" t="s">
        <v>451</v>
      </c>
      <c r="B4" s="7" t="s">
        <v>698</v>
      </c>
      <c r="C4" s="7">
        <v>5</v>
      </c>
      <c r="D4" s="7">
        <v>10</v>
      </c>
      <c r="E4" s="7"/>
      <c r="F4" s="7">
        <v>30</v>
      </c>
      <c r="G4" s="7"/>
      <c r="H4" s="7"/>
      <c r="I4" s="7"/>
    </row>
    <row r="5" spans="1:9">
      <c r="A5" s="7" t="s">
        <v>451</v>
      </c>
      <c r="B5" s="7" t="s">
        <v>699</v>
      </c>
      <c r="C5" s="7">
        <v>5</v>
      </c>
      <c r="D5" s="7">
        <v>10</v>
      </c>
      <c r="E5" s="7"/>
      <c r="F5" s="7">
        <v>40</v>
      </c>
      <c r="G5" s="7"/>
      <c r="H5" s="7"/>
      <c r="I5" s="7"/>
    </row>
    <row r="6" spans="1:9">
      <c r="A6" s="7" t="s">
        <v>451</v>
      </c>
      <c r="B6" s="7" t="s">
        <v>700</v>
      </c>
      <c r="C6" s="7">
        <v>5</v>
      </c>
      <c r="D6" s="7">
        <v>10</v>
      </c>
      <c r="E6" s="7"/>
      <c r="F6" s="7">
        <v>50</v>
      </c>
      <c r="G6" s="7"/>
      <c r="H6" s="7"/>
      <c r="I6" s="7"/>
    </row>
    <row r="7" spans="1:9">
      <c r="A7" s="7" t="s">
        <v>703</v>
      </c>
      <c r="B7" s="7" t="s">
        <v>701</v>
      </c>
      <c r="C7" s="7">
        <v>5</v>
      </c>
      <c r="D7" s="7">
        <v>10</v>
      </c>
      <c r="E7" s="7"/>
      <c r="F7" s="7">
        <v>50</v>
      </c>
      <c r="G7" s="7"/>
      <c r="H7" s="7"/>
      <c r="I7" s="7"/>
    </row>
    <row r="8" spans="1:9">
      <c r="A8" s="7"/>
      <c r="B8" s="7"/>
      <c r="C8" s="7"/>
      <c r="D8" s="7"/>
      <c r="E8" s="7"/>
      <c r="F8" s="7"/>
      <c r="G8" s="7"/>
      <c r="H8" s="7"/>
      <c r="I8" s="7"/>
    </row>
    <row r="9" spans="1:9">
      <c r="A9" s="7"/>
      <c r="B9" s="7"/>
      <c r="C9" s="7"/>
      <c r="D9" s="7"/>
      <c r="E9" s="7"/>
      <c r="F9" s="7"/>
      <c r="G9" s="7"/>
      <c r="H9" s="7"/>
      <c r="I9" s="7"/>
    </row>
    <row r="10" spans="1:9">
      <c r="A10" s="7"/>
      <c r="B10" s="7"/>
      <c r="C10" s="7"/>
      <c r="D10" s="7"/>
      <c r="E10" s="7"/>
      <c r="F10" s="7"/>
      <c r="G10" s="7"/>
      <c r="H10" s="7"/>
      <c r="I10" s="7"/>
    </row>
    <row r="11" spans="1:9">
      <c r="A11" s="7" t="s">
        <v>695</v>
      </c>
      <c r="B11" s="7" t="s">
        <v>447</v>
      </c>
      <c r="C11" s="7">
        <v>5</v>
      </c>
      <c r="D11" s="7">
        <v>10</v>
      </c>
      <c r="E11" s="7"/>
      <c r="F11" s="7">
        <v>20</v>
      </c>
      <c r="G11" s="7"/>
      <c r="H11" s="7"/>
      <c r="I11" s="7"/>
    </row>
    <row r="12" spans="1:9">
      <c r="A12" s="7" t="s">
        <v>695</v>
      </c>
      <c r="B12" s="7" t="s">
        <v>448</v>
      </c>
      <c r="C12" s="7">
        <v>5</v>
      </c>
      <c r="D12" s="7">
        <v>10</v>
      </c>
      <c r="E12" s="7"/>
      <c r="F12" s="7">
        <v>40</v>
      </c>
      <c r="G12" s="7"/>
      <c r="H12" s="7"/>
      <c r="I12" s="7"/>
    </row>
    <row r="13" spans="1:9">
      <c r="A13" s="8" t="s">
        <v>702</v>
      </c>
      <c r="B13" s="7" t="s">
        <v>704</v>
      </c>
      <c r="C13" s="7">
        <v>2</v>
      </c>
      <c r="D13" s="7">
        <v>5</v>
      </c>
      <c r="E13" s="7"/>
      <c r="F13" s="7">
        <v>40</v>
      </c>
      <c r="G13" s="7"/>
      <c r="H13" s="7"/>
      <c r="I13" s="7"/>
    </row>
    <row r="14" spans="1:9">
      <c r="A14" s="7"/>
      <c r="B14" s="7"/>
      <c r="C14" s="7"/>
      <c r="D14" s="7"/>
      <c r="E14" s="7"/>
      <c r="F14" s="7"/>
      <c r="G14" s="7"/>
      <c r="H14" s="7"/>
      <c r="I14" s="7"/>
    </row>
    <row r="15" spans="1:9">
      <c r="A15" s="7" t="s">
        <v>446</v>
      </c>
      <c r="B15" s="7" t="s">
        <v>288</v>
      </c>
      <c r="C15" s="7">
        <v>1</v>
      </c>
      <c r="D15" s="7">
        <v>5</v>
      </c>
      <c r="E15" s="7"/>
      <c r="F15" s="7">
        <v>100</v>
      </c>
      <c r="G15" s="7"/>
      <c r="H15" s="7"/>
      <c r="I15" s="7"/>
    </row>
    <row r="16" spans="1:9">
      <c r="A16" s="7" t="s">
        <v>446</v>
      </c>
      <c r="B16" s="7" t="s">
        <v>705</v>
      </c>
      <c r="C16" s="7">
        <v>1</v>
      </c>
      <c r="D16" s="7">
        <v>5</v>
      </c>
      <c r="E16" s="7"/>
      <c r="F16" s="7">
        <v>150</v>
      </c>
      <c r="G16" s="7"/>
      <c r="H16" s="7"/>
      <c r="I16" s="7"/>
    </row>
    <row r="17" spans="1:9">
      <c r="A17" s="7" t="s">
        <v>446</v>
      </c>
      <c r="B17" s="7" t="s">
        <v>706</v>
      </c>
      <c r="C17" s="7">
        <v>1</v>
      </c>
      <c r="D17" s="7">
        <v>5</v>
      </c>
      <c r="E17" s="7"/>
      <c r="F17" s="7">
        <v>200</v>
      </c>
      <c r="G17" s="7"/>
      <c r="H17" s="7"/>
      <c r="I17" s="7"/>
    </row>
    <row r="18" spans="1:9">
      <c r="A18" s="7" t="s">
        <v>446</v>
      </c>
      <c r="B18" s="7" t="s">
        <v>707</v>
      </c>
      <c r="C18" s="7">
        <v>1</v>
      </c>
      <c r="D18" s="7">
        <v>5</v>
      </c>
      <c r="E18" s="7"/>
      <c r="F18" s="7">
        <v>150</v>
      </c>
      <c r="G18" s="7"/>
      <c r="H18" s="7"/>
      <c r="I18" s="7"/>
    </row>
    <row r="19" spans="1:9">
      <c r="A19" s="7" t="s">
        <v>446</v>
      </c>
      <c r="B19" s="7" t="s">
        <v>708</v>
      </c>
      <c r="C19" s="7">
        <v>1</v>
      </c>
      <c r="D19" s="7">
        <v>5</v>
      </c>
      <c r="E19" s="7"/>
      <c r="F19" s="7">
        <v>200</v>
      </c>
      <c r="G19" s="7"/>
      <c r="H19" s="7"/>
      <c r="I19" s="7"/>
    </row>
    <row r="20" spans="1:9">
      <c r="A20" s="7"/>
      <c r="B20" s="7"/>
      <c r="C20" s="7"/>
      <c r="D20" s="7"/>
      <c r="E20" s="7"/>
      <c r="F20" s="7"/>
      <c r="G20" s="7"/>
      <c r="H20" s="7"/>
      <c r="I20" s="7"/>
    </row>
    <row r="21" spans="1:9">
      <c r="A21" s="7" t="s">
        <v>709</v>
      </c>
      <c r="B21" s="7" t="s">
        <v>710</v>
      </c>
      <c r="C21" s="7">
        <v>8</v>
      </c>
      <c r="D21" s="7">
        <v>5</v>
      </c>
      <c r="E21" s="7"/>
      <c r="F21" s="7">
        <v>50</v>
      </c>
      <c r="G21" s="7"/>
      <c r="H21" s="7"/>
      <c r="I21" s="7"/>
    </row>
    <row r="22" spans="1:9">
      <c r="A22" s="7"/>
      <c r="B22" s="7"/>
      <c r="C22" s="7"/>
      <c r="D22" s="7"/>
      <c r="E22" s="7"/>
      <c r="F22" s="7"/>
      <c r="G22" s="7"/>
      <c r="H22" s="7"/>
      <c r="I22" s="7"/>
    </row>
    <row r="23" spans="1:9">
      <c r="A23" s="7" t="s">
        <v>348</v>
      </c>
      <c r="B23" s="7" t="s">
        <v>288</v>
      </c>
      <c r="C23" s="7">
        <v>8</v>
      </c>
      <c r="D23" s="7">
        <v>10</v>
      </c>
      <c r="E23" s="7"/>
      <c r="F23" s="7">
        <v>30</v>
      </c>
      <c r="G23" s="7"/>
      <c r="H23" s="7"/>
      <c r="I23" s="7"/>
    </row>
    <row r="24" spans="1:9">
      <c r="A24" s="7" t="s">
        <v>348</v>
      </c>
      <c r="B24" s="7" t="s">
        <v>711</v>
      </c>
      <c r="C24" s="7">
        <v>0</v>
      </c>
      <c r="D24" s="7">
        <v>5</v>
      </c>
      <c r="E24" s="7"/>
      <c r="F24" s="7"/>
      <c r="G24" s="7"/>
      <c r="H24" s="7"/>
      <c r="I24" s="7"/>
    </row>
    <row r="25" spans="1:9">
      <c r="A25" s="7"/>
      <c r="B25" s="7"/>
      <c r="C25" s="7"/>
      <c r="D25" s="7"/>
      <c r="E25" s="7"/>
      <c r="F25" s="7"/>
      <c r="G25" s="7"/>
      <c r="H25" s="7"/>
      <c r="I25" s="7"/>
    </row>
    <row r="26" spans="1:9">
      <c r="A26" s="7"/>
      <c r="B26" s="7"/>
      <c r="C26" s="7"/>
      <c r="D26" s="7"/>
      <c r="E26" s="7"/>
      <c r="F26" s="7"/>
      <c r="G26" s="7"/>
      <c r="H26" s="7"/>
      <c r="I26" s="7"/>
    </row>
    <row r="27" spans="1:9">
      <c r="A27" s="7"/>
      <c r="B27" s="7"/>
      <c r="C27" s="7"/>
      <c r="D27" s="7"/>
      <c r="E27" s="7"/>
      <c r="F27" s="7"/>
      <c r="G27" s="7"/>
      <c r="H27" s="7"/>
      <c r="I27" s="7"/>
    </row>
    <row r="28" spans="1:9">
      <c r="A28" s="7"/>
      <c r="B28" s="7"/>
      <c r="C28" s="7"/>
      <c r="D28" s="7"/>
      <c r="E28" s="7"/>
      <c r="F28" s="7"/>
      <c r="G28" s="7"/>
      <c r="H28" s="7"/>
      <c r="I28" s="7"/>
    </row>
    <row r="29" spans="1:9">
      <c r="A29" s="7"/>
      <c r="B29" s="7"/>
      <c r="C29" s="7"/>
      <c r="D29" s="7"/>
      <c r="E29" s="7"/>
      <c r="F29" s="7"/>
      <c r="G29" s="7"/>
      <c r="H29" s="7"/>
      <c r="I29" s="7"/>
    </row>
    <row r="30" spans="1:9">
      <c r="A30" s="7"/>
      <c r="B30" s="7"/>
      <c r="C30" s="7"/>
      <c r="D30" s="7"/>
      <c r="E30" s="7"/>
      <c r="F30" s="7"/>
      <c r="G30" s="7"/>
      <c r="H30" s="7"/>
      <c r="I30" s="7"/>
    </row>
    <row r="31" spans="1:9">
      <c r="A31" s="7"/>
      <c r="B31" s="7"/>
      <c r="C31" s="7"/>
      <c r="D31" s="7"/>
      <c r="E31" s="7"/>
      <c r="F31" s="7"/>
      <c r="G31" s="7"/>
      <c r="H31" s="7"/>
      <c r="I31" s="7"/>
    </row>
    <row r="32" spans="1:9">
      <c r="A32" s="7"/>
      <c r="B32" s="7"/>
      <c r="C32" s="7"/>
      <c r="D32" s="7"/>
      <c r="E32" s="7"/>
      <c r="F32" s="7"/>
      <c r="G32" s="7"/>
      <c r="H32" s="7"/>
      <c r="I32" s="7"/>
    </row>
    <row r="33" spans="1:9">
      <c r="A33" s="7"/>
      <c r="B33" s="7"/>
      <c r="C33" s="7"/>
      <c r="D33" s="7"/>
      <c r="E33" s="7"/>
      <c r="F33" s="7"/>
      <c r="G33" s="7"/>
      <c r="H33" s="7"/>
      <c r="I33" s="7"/>
    </row>
    <row r="34" spans="1:9">
      <c r="A34" s="7"/>
      <c r="B34" s="7"/>
      <c r="C34" s="7"/>
      <c r="D34" s="7"/>
      <c r="E34" s="7"/>
      <c r="F34" s="7"/>
      <c r="G34" s="7"/>
      <c r="H34" s="7"/>
      <c r="I34" s="7"/>
    </row>
    <row r="35" spans="1:9">
      <c r="A35" s="7"/>
      <c r="B35" s="7"/>
      <c r="C35" s="7"/>
      <c r="D35" s="7"/>
      <c r="E35" s="7"/>
      <c r="F35" s="7"/>
      <c r="G35" s="7"/>
      <c r="H35" s="7"/>
      <c r="I35" s="7"/>
    </row>
    <row r="36" spans="1:9">
      <c r="A36" s="7"/>
      <c r="B36" s="7"/>
      <c r="C36" s="7"/>
      <c r="D36" s="7"/>
      <c r="E36" s="7"/>
      <c r="F36" s="7"/>
      <c r="G36" s="7"/>
      <c r="H36" s="7"/>
      <c r="I36" s="7"/>
    </row>
    <row r="37" spans="1:9">
      <c r="A37" s="7"/>
      <c r="B37" s="7"/>
      <c r="C37" s="7"/>
      <c r="D37" s="7"/>
      <c r="E37" s="7"/>
      <c r="F37" s="7"/>
      <c r="G37" s="7"/>
      <c r="H37" s="7"/>
      <c r="I37" s="7"/>
    </row>
    <row r="38" spans="1:9">
      <c r="A38" s="7"/>
      <c r="B38" s="7"/>
      <c r="C38" s="7"/>
      <c r="D38" s="7"/>
      <c r="E38" s="7"/>
      <c r="F38" s="7"/>
      <c r="G38" s="7"/>
      <c r="H38" s="7"/>
      <c r="I38" s="7"/>
    </row>
    <row r="39" spans="1:9">
      <c r="A39" s="7"/>
      <c r="B39" s="7"/>
      <c r="C39" s="7"/>
      <c r="D39" s="7"/>
      <c r="E39" s="7"/>
      <c r="F39" s="7"/>
      <c r="G39" s="7"/>
      <c r="H39" s="7"/>
      <c r="I39" s="7"/>
    </row>
    <row r="40" spans="1:9">
      <c r="A40" s="7"/>
      <c r="B40" s="7"/>
      <c r="C40" s="7"/>
      <c r="D40" s="7"/>
      <c r="E40" s="7"/>
      <c r="F40" s="7"/>
      <c r="G40" s="7"/>
      <c r="H40" s="7"/>
      <c r="I40" s="7"/>
    </row>
    <row r="41" spans="1:9">
      <c r="A41" s="7"/>
      <c r="B41" s="7"/>
      <c r="C41" s="7"/>
      <c r="D41" s="7"/>
      <c r="E41" s="7"/>
      <c r="F41" s="7"/>
      <c r="G41" s="7"/>
      <c r="H41" s="7"/>
      <c r="I41" s="7"/>
    </row>
    <row r="42" spans="1:9">
      <c r="A42" s="7"/>
      <c r="B42" s="7"/>
      <c r="C42" s="7"/>
      <c r="D42" s="7"/>
      <c r="E42" s="7"/>
      <c r="F42" s="7"/>
      <c r="G42" s="7"/>
      <c r="H42" s="7"/>
      <c r="I42" s="7"/>
    </row>
    <row r="43" spans="1:9">
      <c r="A43" s="7"/>
      <c r="B43" s="7"/>
      <c r="C43" s="7"/>
      <c r="D43" s="7"/>
      <c r="E43" s="7"/>
      <c r="F43" s="7"/>
      <c r="G43" s="7"/>
      <c r="H43" s="7"/>
      <c r="I43" s="7"/>
    </row>
    <row r="44" spans="1:9">
      <c r="A44" s="7"/>
      <c r="B44" s="7"/>
      <c r="C44" s="7"/>
      <c r="D44" s="7"/>
      <c r="E44" s="7"/>
      <c r="F44" s="7"/>
      <c r="G44" s="7"/>
      <c r="H44" s="7"/>
      <c r="I44" s="7"/>
    </row>
    <row r="45" spans="1:9">
      <c r="A45" s="7"/>
      <c r="B45" s="7"/>
      <c r="C45" s="7"/>
      <c r="D45" s="7"/>
      <c r="E45" s="7"/>
      <c r="F45" s="7"/>
      <c r="G45" s="7"/>
      <c r="H45" s="7"/>
      <c r="I45" s="7"/>
    </row>
    <row r="46" spans="1:9">
      <c r="A46" s="7"/>
      <c r="B46" s="7"/>
      <c r="C46" s="7"/>
      <c r="D46" s="7"/>
      <c r="E46" s="7"/>
      <c r="F46" s="7"/>
      <c r="G46" s="7"/>
      <c r="H46" s="7"/>
      <c r="I46" s="7"/>
    </row>
    <row r="47" spans="1:9">
      <c r="A47" s="7"/>
      <c r="B47" s="7"/>
      <c r="C47" s="7"/>
      <c r="D47" s="7"/>
      <c r="E47" s="7"/>
      <c r="F47" s="7"/>
      <c r="G47" s="7"/>
      <c r="H47" s="7"/>
      <c r="I47" s="7"/>
    </row>
    <row r="48" spans="1:9">
      <c r="A48" s="7"/>
      <c r="B48" s="7"/>
      <c r="C48" s="7"/>
      <c r="D48" s="7"/>
      <c r="E48" s="7"/>
      <c r="F48" s="7"/>
      <c r="G48" s="7"/>
      <c r="H48" s="7"/>
      <c r="I48" s="7"/>
    </row>
    <row r="49" spans="1:9">
      <c r="A49" s="7"/>
      <c r="B49" s="7"/>
      <c r="C49" s="7"/>
      <c r="D49" s="7"/>
      <c r="E49" s="7"/>
      <c r="F49" s="7"/>
      <c r="G49" s="7"/>
      <c r="H49" s="7"/>
      <c r="I49" s="7"/>
    </row>
    <row r="50" spans="1:9">
      <c r="A50" s="7"/>
      <c r="B50" s="7"/>
      <c r="C50" s="7"/>
      <c r="D50" s="7"/>
      <c r="E50" s="7"/>
      <c r="F50" s="7"/>
      <c r="G50" s="7"/>
      <c r="H50" s="7"/>
      <c r="I50" s="7"/>
    </row>
    <row r="51" spans="1:9">
      <c r="A51" s="7"/>
      <c r="B51" s="7"/>
      <c r="C51" s="7"/>
      <c r="D51" s="7"/>
      <c r="E51" s="7"/>
      <c r="F51" s="7"/>
      <c r="G51" s="7"/>
      <c r="H51" s="7"/>
      <c r="I51" s="7"/>
    </row>
    <row r="52" spans="1:9">
      <c r="A52" s="7"/>
      <c r="B52" s="7"/>
      <c r="C52" s="7"/>
      <c r="D52" s="7"/>
      <c r="E52" s="7"/>
      <c r="F52" s="7"/>
      <c r="G52" s="7"/>
      <c r="H52" s="7"/>
      <c r="I52" s="7"/>
    </row>
    <row r="53" spans="1:9">
      <c r="A53" s="7"/>
      <c r="B53" s="7"/>
      <c r="C53" s="7"/>
      <c r="D53" s="7"/>
      <c r="E53" s="7"/>
      <c r="F53" s="7"/>
      <c r="G53" s="7"/>
      <c r="H53" s="7"/>
      <c r="I53" s="7"/>
    </row>
    <row r="54" spans="1:9">
      <c r="A54" s="7"/>
      <c r="B54" s="7"/>
      <c r="C54" s="7"/>
      <c r="D54" s="7"/>
      <c r="E54" s="7"/>
      <c r="F54" s="7"/>
      <c r="G54" s="7"/>
      <c r="H54" s="7"/>
      <c r="I54" s="7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B2:F14"/>
  <sheetViews>
    <sheetView workbookViewId="0">
      <selection activeCell="C22" sqref="C22"/>
    </sheetView>
  </sheetViews>
  <sheetFormatPr defaultRowHeight="15"/>
  <cols>
    <col min="3" max="3" width="30" customWidth="1"/>
  </cols>
  <sheetData>
    <row r="2" spans="2:6" ht="23.25">
      <c r="B2" s="99" t="s">
        <v>712</v>
      </c>
      <c r="C2" s="1"/>
    </row>
    <row r="4" spans="2:6" ht="18.75">
      <c r="B4" s="91">
        <v>1</v>
      </c>
      <c r="C4" s="91" t="s">
        <v>713</v>
      </c>
      <c r="D4" s="91">
        <v>1</v>
      </c>
      <c r="E4" s="91">
        <v>65</v>
      </c>
      <c r="F4" s="92">
        <v>100</v>
      </c>
    </row>
    <row r="5" spans="2:6" ht="18.75">
      <c r="B5" s="91">
        <v>2</v>
      </c>
      <c r="C5" s="91" t="s">
        <v>714</v>
      </c>
      <c r="D5" s="91">
        <v>1</v>
      </c>
      <c r="E5" s="91">
        <v>25</v>
      </c>
      <c r="F5" s="92">
        <v>40</v>
      </c>
    </row>
    <row r="6" spans="2:6" ht="18.75">
      <c r="B6" s="91">
        <v>3</v>
      </c>
      <c r="C6" s="91" t="s">
        <v>347</v>
      </c>
      <c r="D6" s="91">
        <v>1</v>
      </c>
      <c r="E6" s="91">
        <v>3</v>
      </c>
      <c r="F6" s="92">
        <v>10</v>
      </c>
    </row>
    <row r="7" spans="2:6" ht="18.75">
      <c r="B7" s="91">
        <v>4</v>
      </c>
      <c r="C7" s="91" t="s">
        <v>348</v>
      </c>
      <c r="D7" s="91">
        <v>1</v>
      </c>
      <c r="E7" s="91">
        <v>30</v>
      </c>
      <c r="F7" s="92">
        <v>50</v>
      </c>
    </row>
    <row r="8" spans="2:6" ht="18.75">
      <c r="B8" s="91">
        <v>5</v>
      </c>
      <c r="C8" s="91" t="s">
        <v>715</v>
      </c>
      <c r="D8" s="91">
        <v>1</v>
      </c>
      <c r="E8" s="91">
        <v>35</v>
      </c>
      <c r="F8" s="92">
        <v>50</v>
      </c>
    </row>
    <row r="9" spans="2:6" ht="18.75">
      <c r="B9" s="91">
        <v>6</v>
      </c>
      <c r="C9" s="91" t="s">
        <v>716</v>
      </c>
      <c r="D9" s="91">
        <v>1</v>
      </c>
      <c r="E9" s="91">
        <v>10</v>
      </c>
      <c r="F9" s="92">
        <v>20</v>
      </c>
    </row>
    <row r="10" spans="2:6" ht="18.75">
      <c r="B10" s="91">
        <v>7</v>
      </c>
      <c r="C10" s="91" t="s">
        <v>458</v>
      </c>
      <c r="D10" s="91">
        <v>1</v>
      </c>
      <c r="E10" s="91">
        <v>6</v>
      </c>
      <c r="F10" s="92">
        <v>10</v>
      </c>
    </row>
    <row r="11" spans="2:6" ht="18.75">
      <c r="B11" s="91">
        <v>8</v>
      </c>
      <c r="C11" s="91" t="s">
        <v>717</v>
      </c>
      <c r="D11" s="91">
        <v>2</v>
      </c>
      <c r="E11" s="91">
        <v>5</v>
      </c>
      <c r="F11" s="92">
        <v>10</v>
      </c>
    </row>
    <row r="12" spans="2:6" ht="18.75">
      <c r="B12" s="91">
        <v>9</v>
      </c>
      <c r="C12" s="91" t="s">
        <v>718</v>
      </c>
      <c r="D12" s="91">
        <v>1</v>
      </c>
      <c r="E12" s="91">
        <v>40</v>
      </c>
      <c r="F12" s="92">
        <v>60</v>
      </c>
    </row>
    <row r="13" spans="2:6" ht="18.75">
      <c r="B13" s="91">
        <v>10</v>
      </c>
      <c r="C13" s="91" t="s">
        <v>349</v>
      </c>
      <c r="D13" s="91">
        <v>1</v>
      </c>
      <c r="E13" s="91">
        <v>20</v>
      </c>
      <c r="F13" s="92">
        <v>30</v>
      </c>
    </row>
    <row r="14" spans="2:6">
      <c r="E14">
        <f>SUM(E4:E13)</f>
        <v>239</v>
      </c>
      <c r="F14">
        <f>SUM(F4:F13)</f>
        <v>380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IN STOCK ITEMS</vt:lpstr>
      <vt:lpstr>Sheet2</vt:lpstr>
      <vt:lpstr>RESISTOR</vt:lpstr>
      <vt:lpstr>CAPACITOR</vt:lpstr>
      <vt:lpstr>INTEGRATED CIRCUIT(IC)</vt:lpstr>
      <vt:lpstr>TRANSISTOR &amp; DIODE</vt:lpstr>
      <vt:lpstr>MODULE &amp; SENSOR</vt:lpstr>
      <vt:lpstr>MOTOR'S</vt:lpstr>
      <vt:lpstr>ELECTRONIC ITEMS</vt:lpstr>
      <vt:lpstr>Project 2017 2018</vt:lpstr>
      <vt:lpstr>Ashok</vt:lpstr>
      <vt:lpstr>MINI PROJECTS</vt:lpstr>
      <vt:lpstr>HAP</vt:lpstr>
      <vt:lpstr>Arduino Basic Kit</vt:lpstr>
      <vt:lpstr>3D PRINTED PARTS</vt:lpstr>
      <vt:lpstr>SOLDERING KIT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celab</dc:creator>
  <cp:lastModifiedBy>celab</cp:lastModifiedBy>
  <dcterms:created xsi:type="dcterms:W3CDTF">2017-10-06T08:12:34Z</dcterms:created>
  <dcterms:modified xsi:type="dcterms:W3CDTF">2017-11-27T11:18:32Z</dcterms:modified>
</cp:coreProperties>
</file>